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amroali\Desktop\exsel\"/>
    </mc:Choice>
  </mc:AlternateContent>
  <xr:revisionPtr revIDLastSave="0" documentId="8_{E0F6DD9B-165D-4870-BB27-4D69A0C6D951}" xr6:coauthVersionLast="47" xr6:coauthVersionMax="47" xr10:uidLastSave="{00000000-0000-0000-0000-000000000000}"/>
  <bookViews>
    <workbookView xWindow="-110" yWindow="-110" windowWidth="19420" windowHeight="10300" activeTab="2" xr2:uid="{00000000-000D-0000-FFFF-FFFF00000000}"/>
  </bookViews>
  <sheets>
    <sheet name="Pivot table" sheetId="2" r:id="rId1"/>
    <sheet name="Sales Data" sheetId="1" r:id="rId2"/>
    <sheet name="dashboard" sheetId="6" r:id="rId3"/>
  </sheets>
  <definedNames>
    <definedName name="NativeTimeline_Date">#N/A</definedName>
    <definedName name="Slicer_Item">#N/A</definedName>
    <definedName name="Slicer_Region">#N/A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 i="2" l="1"/>
  <c r="S23" i="2"/>
</calcChain>
</file>

<file path=xl/sharedStrings.xml><?xml version="1.0" encoding="utf-8"?>
<sst xmlns="http://schemas.openxmlformats.org/spreadsheetml/2006/main" count="285" uniqueCount="34">
  <si>
    <t>Sl.No</t>
  </si>
  <si>
    <t>Date</t>
  </si>
  <si>
    <t>Customer</t>
  </si>
  <si>
    <t>Region</t>
  </si>
  <si>
    <t>Item</t>
  </si>
  <si>
    <t>Qty</t>
  </si>
  <si>
    <t>Price</t>
  </si>
  <si>
    <t>Amount</t>
  </si>
  <si>
    <t>Emily Johnson</t>
  </si>
  <si>
    <t>North</t>
  </si>
  <si>
    <t>Notebook</t>
  </si>
  <si>
    <t>Olivia Brown</t>
  </si>
  <si>
    <t>South</t>
  </si>
  <si>
    <t>Charger</t>
  </si>
  <si>
    <t>Ramesh Kumar</t>
  </si>
  <si>
    <t>East</t>
  </si>
  <si>
    <t>Backpack</t>
  </si>
  <si>
    <t>Maria Angelica</t>
  </si>
  <si>
    <t>West</t>
  </si>
  <si>
    <t>Pen Set</t>
  </si>
  <si>
    <t>Mohammad Ali</t>
  </si>
  <si>
    <t>Desk Lamp</t>
  </si>
  <si>
    <t>Fatima Al Mak</t>
  </si>
  <si>
    <t>Chair</t>
  </si>
  <si>
    <t>Ethan Lee</t>
  </si>
  <si>
    <t>Ava Jenkins</t>
  </si>
  <si>
    <t>USB Drive</t>
  </si>
  <si>
    <t>Lukas Müller</t>
  </si>
  <si>
    <t>Yui Nakamura</t>
  </si>
  <si>
    <t>Row Labels</t>
  </si>
  <si>
    <t>Grand Total</t>
  </si>
  <si>
    <t>Dec</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</si>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</sst>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dd/mm/yyyy"/>
  </numFmts>
  <fonts count="4" x14ac:knownFonts="1">
    <font>
      <sz val="11"/>
      <color theme="1"/>
      <name val="Calibri"/>
      <family val="2"/>
      <scheme val="minor"/>
    </font>
    <font>
      <b/>
      <sz val="11"/>
      <color rgb="FFFFFFFF"/>
      <name val="Arial"/>
    </font>
    <font>
      <sz val="10"/>
      <name val="Arial"/>
    </font>
    <font>
      <b/>
      <sz val="10"/>
      <color rgb="FFFFFFFF"/>
      <name val="Arial"/>
    </font>
  </fonts>
  <fills count="5">
    <fill>
      <patternFill patternType="none"/>
    </fill>
    <fill>
      <patternFill patternType="gray125"/>
    </fill>
    <fill>
      <patternFill patternType="solid">
        <fgColor rgb="FF1F7ABF"/>
        <bgColor rgb="FF1F7ABF"/>
      </patternFill>
    </fill>
    <fill>
      <patternFill patternType="solid">
        <fgColor rgb="FFEBF3FB"/>
        <bgColor rgb="FFEBF3FB"/>
      </patternFill>
    </fill>
    <fill>
      <patternFill patternType="solid">
        <fgColor theme="0"/>
        <bgColor rgb="FF1F7AB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right"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right" vertical="center"/>
    </xf>
    <xf numFmtId="0" fontId="0" fillId="0" borderId="0" xfId="0" pivotButton="1"/>
    <xf numFmtId="0" fontId="0" fillId="0" borderId="0" xfId="0" applyAlignment="1">
      <alignment horizontal="left"/>
    </xf>
    <xf numFmtId="0" fontId="3" fillId="4" borderId="0" xfId="0" applyFont="1" applyFill="1" applyBorder="1" applyAlignment="1">
      <alignment horizontal="center" vertical="center"/>
    </xf>
    <xf numFmtId="0" fontId="3" fillId="4" borderId="0" xfId="0" applyFont="1" applyFill="1" applyBorder="1"/>
    <xf numFmtId="0" fontId="3" fillId="4" borderId="0" xfId="0" applyFont="1" applyFill="1" applyBorder="1" applyAlignment="1">
      <alignment horizontal="right" vertical="center"/>
    </xf>
    <xf numFmtId="0" fontId="0" fillId="0" borderId="0" xfId="0" applyNumberFormat="1"/>
    <xf numFmtId="3" fontId="0" fillId="0" borderId="0" xfId="0" applyNumberFormat="1"/>
  </cellXfs>
  <cellStyles count="1">
    <cellStyle name="Normal" xfId="0" builtinId="0"/>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F2AB48B4-6AC3-442C-B3DF-19D7EE5EC155}">
      <tableStyleElement type="wholeTable" dxfId="1"/>
      <tableStyleElement type="headerRow" dxfId="0"/>
    </tableStyle>
  </tableStyles>
  <colors>
    <mruColors>
      <color rgb="FF4CEAF6"/>
      <color rgb="FF9CD1E0"/>
      <color rgb="FFAEC87A"/>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table!PivotTable6</c:name>
    <c:fmtId val="3"/>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84380709636731"/>
          <c:y val="0.15806274571297366"/>
          <c:w val="0.65007691957580449"/>
          <c:h val="0.69287171962679628"/>
        </c:manualLayout>
      </c:layout>
      <c:barChart>
        <c:barDir val="bar"/>
        <c:grouping val="clustered"/>
        <c:varyColors val="0"/>
        <c:ser>
          <c:idx val="0"/>
          <c:order val="0"/>
          <c:tx>
            <c:strRef>
              <c:f>'Pivot table'!$N$3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table'!$M$4:$M$5</c:f>
              <c:strCache>
                <c:ptCount val="1"/>
                <c:pt idx="0">
                  <c:v>East</c:v>
                </c:pt>
              </c:strCache>
            </c:strRef>
          </c:cat>
          <c:val>
            <c:numRef>
              <c:f>'Pivot table'!$N$4:$N$5</c:f>
              <c:numCache>
                <c:formatCode>General</c:formatCode>
                <c:ptCount val="1"/>
                <c:pt idx="0">
                  <c:v>12000</c:v>
                </c:pt>
              </c:numCache>
            </c:numRef>
          </c:val>
          <c:extLst>
            <c:ext xmlns:c16="http://schemas.microsoft.com/office/drawing/2014/chart" uri="{C3380CC4-5D6E-409C-BE32-E72D297353CC}">
              <c16:uniqueId val="{00000000-3283-4A30-8191-8F013774E8DB}"/>
            </c:ext>
          </c:extLst>
        </c:ser>
        <c:dLbls>
          <c:showLegendKey val="0"/>
          <c:showVal val="0"/>
          <c:showCatName val="0"/>
          <c:showSerName val="0"/>
          <c:showPercent val="0"/>
          <c:showBubbleSize val="0"/>
        </c:dLbls>
        <c:gapWidth val="150"/>
        <c:axId val="1038287696"/>
        <c:axId val="1038288176"/>
      </c:barChart>
      <c:catAx>
        <c:axId val="10382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8288176"/>
        <c:crosses val="autoZero"/>
        <c:auto val="1"/>
        <c:lblAlgn val="ctr"/>
        <c:lblOffset val="100"/>
        <c:noMultiLvlLbl val="0"/>
      </c:catAx>
      <c:valAx>
        <c:axId val="103828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82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table!PivotTable7</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81764725761212"/>
          <c:y val="0.17358580787913969"/>
          <c:w val="0.65597062169803877"/>
          <c:h val="0.61682579397498305"/>
        </c:manualLayout>
      </c:layout>
      <c:areaChart>
        <c:grouping val="stacked"/>
        <c:varyColors val="0"/>
        <c:ser>
          <c:idx val="0"/>
          <c:order val="0"/>
          <c:tx>
            <c:strRef>
              <c:f>'Pivot table'!$Q$5</c:f>
              <c:strCache>
                <c:ptCount val="1"/>
                <c:pt idx="0">
                  <c:v>Total</c:v>
                </c:pt>
              </c:strCache>
            </c:strRef>
          </c:tx>
          <c:spPr>
            <a:solidFill>
              <a:schemeClr val="accent2"/>
            </a:solidFill>
            <a:ln>
              <a:noFill/>
            </a:ln>
            <a:effectLst/>
          </c:spPr>
          <c:cat>
            <c:strRef>
              <c:f>'Pivot table'!$P$6:$P$7</c:f>
              <c:strCache>
                <c:ptCount val="1"/>
                <c:pt idx="0">
                  <c:v>Dec</c:v>
                </c:pt>
              </c:strCache>
            </c:strRef>
          </c:cat>
          <c:val>
            <c:numRef>
              <c:f>'Pivot table'!$Q$6:$Q$7</c:f>
              <c:numCache>
                <c:formatCode>General</c:formatCode>
                <c:ptCount val="1"/>
                <c:pt idx="0">
                  <c:v>85370</c:v>
                </c:pt>
              </c:numCache>
            </c:numRef>
          </c:val>
          <c:extLst>
            <c:ext xmlns:c16="http://schemas.microsoft.com/office/drawing/2014/chart" uri="{C3380CC4-5D6E-409C-BE32-E72D297353CC}">
              <c16:uniqueId val="{00000000-4B40-40D0-BD90-1087363A7199}"/>
            </c:ext>
          </c:extLst>
        </c:ser>
        <c:dLbls>
          <c:showLegendKey val="0"/>
          <c:showVal val="0"/>
          <c:showCatName val="0"/>
          <c:showSerName val="0"/>
          <c:showPercent val="0"/>
          <c:showBubbleSize val="0"/>
        </c:dLbls>
        <c:axId val="1038284816"/>
        <c:axId val="1038285296"/>
      </c:areaChart>
      <c:catAx>
        <c:axId val="103828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85296"/>
        <c:crosses val="autoZero"/>
        <c:auto val="1"/>
        <c:lblAlgn val="ctr"/>
        <c:lblOffset val="100"/>
        <c:noMultiLvlLbl val="0"/>
      </c:catAx>
      <c:valAx>
        <c:axId val="1038285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84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table!PivotTable8</c:name>
    <c:fmtId val="2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91757746699572"/>
          <c:y val="7.2859744990892539E-2"/>
          <c:w val="0.70702769616484507"/>
          <c:h val="0.75083229350429559"/>
        </c:manualLayout>
      </c:layout>
      <c:barChart>
        <c:barDir val="bar"/>
        <c:grouping val="clustered"/>
        <c:varyColors val="0"/>
        <c:ser>
          <c:idx val="0"/>
          <c:order val="0"/>
          <c:tx>
            <c:strRef>
              <c:f>'Pivot table'!$T$12</c:f>
              <c:strCache>
                <c:ptCount val="1"/>
                <c:pt idx="0">
                  <c:v>Total</c:v>
                </c:pt>
              </c:strCache>
            </c:strRef>
          </c:tx>
          <c:spPr>
            <a:solidFill>
              <a:schemeClr val="accent1"/>
            </a:solidFill>
            <a:ln>
              <a:noFill/>
            </a:ln>
            <a:effectLst/>
          </c:spPr>
          <c:invertIfNegative val="0"/>
          <c:cat>
            <c:strRef>
              <c:f>'Pivot table'!$S$13:$S$18</c:f>
              <c:strCache>
                <c:ptCount val="5"/>
                <c:pt idx="0">
                  <c:v>Backpack</c:v>
                </c:pt>
                <c:pt idx="1">
                  <c:v>Charger</c:v>
                </c:pt>
                <c:pt idx="2">
                  <c:v>Notebook</c:v>
                </c:pt>
                <c:pt idx="3">
                  <c:v>Pen Set</c:v>
                </c:pt>
                <c:pt idx="4">
                  <c:v>USB Drive</c:v>
                </c:pt>
              </c:strCache>
            </c:strRef>
          </c:cat>
          <c:val>
            <c:numRef>
              <c:f>'Pivot table'!$T$13:$T$18</c:f>
              <c:numCache>
                <c:formatCode>General</c:formatCode>
                <c:ptCount val="5"/>
                <c:pt idx="0">
                  <c:v>7320</c:v>
                </c:pt>
                <c:pt idx="1">
                  <c:v>12000</c:v>
                </c:pt>
                <c:pt idx="2">
                  <c:v>31500</c:v>
                </c:pt>
                <c:pt idx="3">
                  <c:v>8050</c:v>
                </c:pt>
                <c:pt idx="4">
                  <c:v>26500</c:v>
                </c:pt>
              </c:numCache>
            </c:numRef>
          </c:val>
          <c:extLst>
            <c:ext xmlns:c16="http://schemas.microsoft.com/office/drawing/2014/chart" uri="{C3380CC4-5D6E-409C-BE32-E72D297353CC}">
              <c16:uniqueId val="{00000003-D4E7-4788-A16A-ECDC25A4FC57}"/>
            </c:ext>
          </c:extLst>
        </c:ser>
        <c:dLbls>
          <c:showLegendKey val="0"/>
          <c:showVal val="0"/>
          <c:showCatName val="0"/>
          <c:showSerName val="0"/>
          <c:showPercent val="0"/>
          <c:showBubbleSize val="0"/>
        </c:dLbls>
        <c:gapWidth val="150"/>
        <c:axId val="1203275552"/>
        <c:axId val="1203276992"/>
      </c:barChart>
      <c:catAx>
        <c:axId val="120327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76992"/>
        <c:crosses val="autoZero"/>
        <c:auto val="1"/>
        <c:lblAlgn val="ctr"/>
        <c:lblOffset val="100"/>
        <c:noMultiLvlLbl val="0"/>
      </c:catAx>
      <c:valAx>
        <c:axId val="120327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75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table!PivotTable6</c:name>
    <c:fmtId val="12"/>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table'!$M$4:$M$5</c:f>
              <c:strCache>
                <c:ptCount val="1"/>
                <c:pt idx="0">
                  <c:v>East</c:v>
                </c:pt>
              </c:strCache>
            </c:strRef>
          </c:cat>
          <c:val>
            <c:numRef>
              <c:f>'Pivot table'!$N$4:$N$5</c:f>
              <c:numCache>
                <c:formatCode>General</c:formatCode>
                <c:ptCount val="1"/>
                <c:pt idx="0">
                  <c:v>12000</c:v>
                </c:pt>
              </c:numCache>
            </c:numRef>
          </c:val>
          <c:extLst>
            <c:ext xmlns:c16="http://schemas.microsoft.com/office/drawing/2014/chart" uri="{C3380CC4-5D6E-409C-BE32-E72D297353CC}">
              <c16:uniqueId val="{00000000-E01A-48C2-94C4-2A4900D39588}"/>
            </c:ext>
          </c:extLst>
        </c:ser>
        <c:dLbls>
          <c:showLegendKey val="0"/>
          <c:showVal val="0"/>
          <c:showCatName val="0"/>
          <c:showSerName val="0"/>
          <c:showPercent val="0"/>
          <c:showBubbleSize val="0"/>
        </c:dLbls>
        <c:gapWidth val="150"/>
        <c:axId val="1038287696"/>
        <c:axId val="1038288176"/>
      </c:barChart>
      <c:catAx>
        <c:axId val="10382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8288176"/>
        <c:crosses val="autoZero"/>
        <c:auto val="1"/>
        <c:lblAlgn val="ctr"/>
        <c:lblOffset val="100"/>
        <c:noMultiLvlLbl val="0"/>
      </c:catAx>
      <c:valAx>
        <c:axId val="103828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82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table!PivotTable7</c:name>
    <c:fmtId val="1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table'!$Q$5</c:f>
              <c:strCache>
                <c:ptCount val="1"/>
                <c:pt idx="0">
                  <c:v>Total</c:v>
                </c:pt>
              </c:strCache>
            </c:strRef>
          </c:tx>
          <c:spPr>
            <a:solidFill>
              <a:schemeClr val="accent2"/>
            </a:solidFill>
            <a:ln>
              <a:noFill/>
            </a:ln>
            <a:effectLst/>
          </c:spPr>
          <c:cat>
            <c:strRef>
              <c:f>'Pivot table'!$P$6:$P$7</c:f>
              <c:strCache>
                <c:ptCount val="1"/>
                <c:pt idx="0">
                  <c:v>Dec</c:v>
                </c:pt>
              </c:strCache>
            </c:strRef>
          </c:cat>
          <c:val>
            <c:numRef>
              <c:f>'Pivot table'!$Q$6:$Q$7</c:f>
              <c:numCache>
                <c:formatCode>General</c:formatCode>
                <c:ptCount val="1"/>
                <c:pt idx="0">
                  <c:v>85370</c:v>
                </c:pt>
              </c:numCache>
            </c:numRef>
          </c:val>
          <c:extLst>
            <c:ext xmlns:c16="http://schemas.microsoft.com/office/drawing/2014/chart" uri="{C3380CC4-5D6E-409C-BE32-E72D297353CC}">
              <c16:uniqueId val="{00000000-B035-4E5F-A480-0935CC654C7C}"/>
            </c:ext>
          </c:extLst>
        </c:ser>
        <c:dLbls>
          <c:showLegendKey val="0"/>
          <c:showVal val="0"/>
          <c:showCatName val="0"/>
          <c:showSerName val="0"/>
          <c:showPercent val="0"/>
          <c:showBubbleSize val="0"/>
        </c:dLbls>
        <c:axId val="1038284816"/>
        <c:axId val="1038285296"/>
      </c:areaChart>
      <c:catAx>
        <c:axId val="103828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85296"/>
        <c:crosses val="autoZero"/>
        <c:auto val="1"/>
        <c:lblAlgn val="ctr"/>
        <c:lblOffset val="100"/>
        <c:noMultiLvlLbl val="0"/>
      </c:catAx>
      <c:valAx>
        <c:axId val="1038285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84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[loyiha_mustaqil222.xlsx]Pivot table!PivotTable8</c:name>
    <c:fmtId val="3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303184863086144"/>
          <c:y val="8.0145719489981782E-2"/>
          <c:w val="0.67568456927958631"/>
          <c:h val="0.75083229350429559"/>
        </c:manualLayout>
      </c:layout>
      <c:barChart>
        <c:barDir val="bar"/>
        <c:grouping val="clustered"/>
        <c:varyColors val="0"/>
        <c:ser>
          <c:idx val="0"/>
          <c:order val="0"/>
          <c:tx>
            <c:strRef>
              <c:f>'Pivot table'!$T$12</c:f>
              <c:strCache>
                <c:ptCount val="1"/>
                <c:pt idx="0">
                  <c:v>Total</c:v>
                </c:pt>
              </c:strCache>
            </c:strRef>
          </c:tx>
          <c:spPr>
            <a:solidFill>
              <a:schemeClr val="accent1"/>
            </a:solidFill>
            <a:ln>
              <a:noFill/>
            </a:ln>
            <a:effectLst/>
          </c:spPr>
          <c:invertIfNegative val="0"/>
          <c:cat>
            <c:strRef>
              <c:f>'Pivot table'!$S$13:$S$18</c:f>
              <c:strCache>
                <c:ptCount val="5"/>
                <c:pt idx="0">
                  <c:v>Backpack</c:v>
                </c:pt>
                <c:pt idx="1">
                  <c:v>Charger</c:v>
                </c:pt>
                <c:pt idx="2">
                  <c:v>Notebook</c:v>
                </c:pt>
                <c:pt idx="3">
                  <c:v>Pen Set</c:v>
                </c:pt>
                <c:pt idx="4">
                  <c:v>USB Drive</c:v>
                </c:pt>
              </c:strCache>
            </c:strRef>
          </c:cat>
          <c:val>
            <c:numRef>
              <c:f>'Pivot table'!$T$13:$T$18</c:f>
              <c:numCache>
                <c:formatCode>General</c:formatCode>
                <c:ptCount val="5"/>
                <c:pt idx="0">
                  <c:v>7320</c:v>
                </c:pt>
                <c:pt idx="1">
                  <c:v>12000</c:v>
                </c:pt>
                <c:pt idx="2">
                  <c:v>31500</c:v>
                </c:pt>
                <c:pt idx="3">
                  <c:v>8050</c:v>
                </c:pt>
                <c:pt idx="4">
                  <c:v>26500</c:v>
                </c:pt>
              </c:numCache>
            </c:numRef>
          </c:val>
          <c:extLst>
            <c:ext xmlns:c16="http://schemas.microsoft.com/office/drawing/2014/chart" uri="{C3380CC4-5D6E-409C-BE32-E72D297353CC}">
              <c16:uniqueId val="{00000000-2901-4310-8814-BD87E64620BE}"/>
            </c:ext>
          </c:extLst>
        </c:ser>
        <c:dLbls>
          <c:showLegendKey val="0"/>
          <c:showVal val="0"/>
          <c:showCatName val="0"/>
          <c:showSerName val="0"/>
          <c:showPercent val="0"/>
          <c:showBubbleSize val="0"/>
        </c:dLbls>
        <c:gapWidth val="150"/>
        <c:axId val="1203275552"/>
        <c:axId val="1203276992"/>
      </c:barChart>
      <c:catAx>
        <c:axId val="120327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76992"/>
        <c:crosses val="autoZero"/>
        <c:auto val="1"/>
        <c:lblAlgn val="ctr"/>
        <c:lblOffset val="100"/>
        <c:noMultiLvlLbl val="0"/>
      </c:catAx>
      <c:valAx>
        <c:axId val="120327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7555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Pivot table'!A1"/><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sv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38100</xdr:rowOff>
    </xdr:from>
    <xdr:to>
      <xdr:col>8</xdr:col>
      <xdr:colOff>196850</xdr:colOff>
      <xdr:row>17</xdr:row>
      <xdr:rowOff>114300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59B2BED-5FBF-9069-6BBA-482AB5F033A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2063750"/>
              <a:ext cx="55816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133350</xdr:colOff>
      <xdr:row>0</xdr:row>
      <xdr:rowOff>161925</xdr:rowOff>
    </xdr:from>
    <xdr:to>
      <xdr:col>9</xdr:col>
      <xdr:colOff>238126</xdr:colOff>
      <xdr:row>6</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98E6AB4-0389-E218-9234-924F20802A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79750" y="161925"/>
              <a:ext cx="3152776"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298450</xdr:colOff>
      <xdr:row>15</xdr:row>
      <xdr:rowOff>25400</xdr:rowOff>
    </xdr:from>
    <xdr:to>
      <xdr:col>8</xdr:col>
      <xdr:colOff>577850</xdr:colOff>
      <xdr:row>28</xdr:row>
      <xdr:rowOff>155575</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C0C7DF99-EC83-F3F6-814E-3A2576352E8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298450" y="2787650"/>
              <a:ext cx="56642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263525</xdr:colOff>
      <xdr:row>21</xdr:row>
      <xdr:rowOff>146049</xdr:rowOff>
    </xdr:from>
    <xdr:to>
      <xdr:col>14</xdr:col>
      <xdr:colOff>184150</xdr:colOff>
      <xdr:row>33</xdr:row>
      <xdr:rowOff>168274</xdr:rowOff>
    </xdr:to>
    <xdr:graphicFrame macro="">
      <xdr:nvGraphicFramePr>
        <xdr:cNvPr id="7" name="Chart 6">
          <a:extLst>
            <a:ext uri="{FF2B5EF4-FFF2-40B4-BE49-F238E27FC236}">
              <a16:creationId xmlns:a16="http://schemas.microsoft.com/office/drawing/2014/main" id="{126D52EE-F451-5AE4-786E-44089307F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288925</xdr:colOff>
      <xdr:row>12</xdr:row>
      <xdr:rowOff>146050</xdr:rowOff>
    </xdr:from>
    <xdr:to>
      <xdr:col>16</xdr:col>
      <xdr:colOff>57150</xdr:colOff>
      <xdr:row>18</xdr:row>
      <xdr:rowOff>174624</xdr:rowOff>
    </xdr:to>
    <xdr:graphicFrame macro="">
      <xdr:nvGraphicFramePr>
        <xdr:cNvPr id="8" name="Chart 7">
          <a:extLst>
            <a:ext uri="{FF2B5EF4-FFF2-40B4-BE49-F238E27FC236}">
              <a16:creationId xmlns:a16="http://schemas.microsoft.com/office/drawing/2014/main" id="{31F7466A-6B97-4E65-C7D4-C75B4045A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777875</xdr:colOff>
      <xdr:row>24</xdr:row>
      <xdr:rowOff>57149</xdr:rowOff>
    </xdr:from>
    <xdr:to>
      <xdr:col>19</xdr:col>
      <xdr:colOff>184150</xdr:colOff>
      <xdr:row>33</xdr:row>
      <xdr:rowOff>142874</xdr:rowOff>
    </xdr:to>
    <xdr:graphicFrame macro="">
      <xdr:nvGraphicFramePr>
        <xdr:cNvPr id="9" name="Chart 8">
          <a:extLst>
            <a:ext uri="{FF2B5EF4-FFF2-40B4-BE49-F238E27FC236}">
              <a16:creationId xmlns:a16="http://schemas.microsoft.com/office/drawing/2014/main" id="{2E7AE334-1872-354B-DFE0-BB43B7D8A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258881</xdr:colOff>
      <xdr:row>0</xdr:row>
      <xdr:rowOff>0</xdr:rowOff>
    </xdr:from>
    <xdr:to>
      <xdr:col>20</xdr:col>
      <xdr:colOff>378146</xdr:colOff>
      <xdr:row>40</xdr:row>
      <xdr:rowOff>163219</xdr:rowOff>
    </xdr:to>
    <xdr:sp macro="" textlink="">
      <xdr:nvSpPr>
        <xdr:cNvPr id="5" name="Rectangle: Rounded Corners 4">
          <a:extLst>
            <a:ext uri="{FF2B5EF4-FFF2-40B4-BE49-F238E27FC236}">
              <a16:creationId xmlns:a16="http://schemas.microsoft.com/office/drawing/2014/main" id="{EC7CBA14-BA61-AE5B-E4B2-1F3D93BB08B1}"/>
            </a:ext>
          </a:extLst>
        </xdr:cNvPr>
        <xdr:cNvSpPr/>
      </xdr:nvSpPr>
      <xdr:spPr>
        <a:xfrm>
          <a:off x="258881" y="0"/>
          <a:ext cx="12248478" cy="6727264"/>
        </a:xfrm>
        <a:prstGeom prst="roundRect">
          <a:avLst>
            <a:gd name="adj" fmla="val 3445"/>
          </a:avLst>
        </a:prstGeom>
        <a:solidFill>
          <a:srgbClr val="4CEAF6">
            <a:alpha val="90000"/>
          </a:srgb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fPrintsWithSheet="0"/>
  </xdr:twoCellAnchor>
  <xdr:twoCellAnchor>
    <xdr:from>
      <xdr:col>3</xdr:col>
      <xdr:colOff>593993</xdr:colOff>
      <xdr:row>0</xdr:row>
      <xdr:rowOff>156966</xdr:rowOff>
    </xdr:from>
    <xdr:to>
      <xdr:col>20</xdr:col>
      <xdr:colOff>64214</xdr:colOff>
      <xdr:row>40</xdr:row>
      <xdr:rowOff>62716</xdr:rowOff>
    </xdr:to>
    <xdr:sp macro="" textlink="">
      <xdr:nvSpPr>
        <xdr:cNvPr id="6" name="Rectangle: Rounded Corners 5">
          <a:extLst>
            <a:ext uri="{FF2B5EF4-FFF2-40B4-BE49-F238E27FC236}">
              <a16:creationId xmlns:a16="http://schemas.microsoft.com/office/drawing/2014/main" id="{03A21BF8-C0F8-2669-4992-A0A9C38FE3E0}"/>
            </a:ext>
          </a:extLst>
        </xdr:cNvPr>
        <xdr:cNvSpPr/>
      </xdr:nvSpPr>
      <xdr:spPr>
        <a:xfrm>
          <a:off x="2413375" y="156966"/>
          <a:ext cx="9780052" cy="6469795"/>
        </a:xfrm>
        <a:prstGeom prst="roundRect">
          <a:avLst>
            <a:gd name="adj" fmla="val 3445"/>
          </a:avLst>
        </a:prstGeom>
        <a:solidFill>
          <a:srgbClr val="9CD1E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458625</xdr:colOff>
      <xdr:row>1</xdr:row>
      <xdr:rowOff>70124</xdr:rowOff>
    </xdr:from>
    <xdr:to>
      <xdr:col>13</xdr:col>
      <xdr:colOff>399550</xdr:colOff>
      <xdr:row>8</xdr:row>
      <xdr:rowOff>86103</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5444FA26-77AB-4CB4-979F-66F9F5FF30A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906818" y="238437"/>
              <a:ext cx="5449359" cy="11941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85618</xdr:colOff>
      <xdr:row>1</xdr:row>
      <xdr:rowOff>78483</xdr:rowOff>
    </xdr:from>
    <xdr:to>
      <xdr:col>19</xdr:col>
      <xdr:colOff>478034</xdr:colOff>
      <xdr:row>8</xdr:row>
      <xdr:rowOff>52947</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265A503-FA21-4537-917D-2A76856ECFE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54293" y="246796"/>
              <a:ext cx="3452657" cy="1152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434849</xdr:colOff>
      <xdr:row>12</xdr:row>
      <xdr:rowOff>74196</xdr:rowOff>
    </xdr:from>
    <xdr:to>
      <xdr:col>3</xdr:col>
      <xdr:colOff>294282</xdr:colOff>
      <xdr:row>14</xdr:row>
      <xdr:rowOff>141653</xdr:rowOff>
    </xdr:to>
    <xdr:sp macro="" textlink="" fLocksText="0">
      <xdr:nvSpPr>
        <xdr:cNvPr id="9" name="Rectangle: Diagonal Corners Rounded 8">
          <a:extLst>
            <a:ext uri="{FF2B5EF4-FFF2-40B4-BE49-F238E27FC236}">
              <a16:creationId xmlns:a16="http://schemas.microsoft.com/office/drawing/2014/main" id="{A7C2CDCC-1FD0-97A3-5007-E8DAE8AA952B}"/>
            </a:ext>
          </a:extLst>
        </xdr:cNvPr>
        <xdr:cNvSpPr>
          <a:spLocks noChangeAspect="1"/>
        </xdr:cNvSpPr>
      </xdr:nvSpPr>
      <xdr:spPr>
        <a:xfrm>
          <a:off x="434849" y="2043409"/>
          <a:ext cx="1678815" cy="395660"/>
        </a:xfrm>
        <a:prstGeom prst="round2DiagRect">
          <a:avLst/>
        </a:prstGeom>
        <a:solidFill>
          <a:sysClr val="window" lastClr="FFFFFF"/>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5">
                  <a:lumMod val="75000"/>
                </a:schemeClr>
              </a:solidFill>
            </a:rPr>
            <a:t>Dashboard</a:t>
          </a:r>
        </a:p>
      </xdr:txBody>
    </xdr:sp>
    <xdr:clientData fLocksWithSheet="0" fPrintsWithSheet="0"/>
  </xdr:twoCellAnchor>
  <xdr:twoCellAnchor editAs="absolute">
    <xdr:from>
      <xdr:col>0</xdr:col>
      <xdr:colOff>430571</xdr:colOff>
      <xdr:row>16</xdr:row>
      <xdr:rowOff>135802</xdr:rowOff>
    </xdr:from>
    <xdr:to>
      <xdr:col>3</xdr:col>
      <xdr:colOff>275219</xdr:colOff>
      <xdr:row>19</xdr:row>
      <xdr:rowOff>35675</xdr:rowOff>
    </xdr:to>
    <xdr:sp macro="" textlink="" fLocksText="0">
      <xdr:nvSpPr>
        <xdr:cNvPr id="10" name="Rectangle: Diagonal Corners Rounded 9">
          <a:hlinkClick xmlns:r="http://schemas.openxmlformats.org/officeDocument/2006/relationships" r:id="rId1"/>
          <a:extLst>
            <a:ext uri="{FF2B5EF4-FFF2-40B4-BE49-F238E27FC236}">
              <a16:creationId xmlns:a16="http://schemas.microsoft.com/office/drawing/2014/main" id="{FC02C175-4246-8BE4-BA50-D6AB9270B054}"/>
            </a:ext>
          </a:extLst>
        </xdr:cNvPr>
        <xdr:cNvSpPr>
          <a:spLocks noChangeAspect="1"/>
        </xdr:cNvSpPr>
      </xdr:nvSpPr>
      <xdr:spPr>
        <a:xfrm>
          <a:off x="430571" y="2761420"/>
          <a:ext cx="1664030" cy="392176"/>
        </a:xfrm>
        <a:prstGeom prst="round2DiagRect">
          <a:avLst/>
        </a:prstGeom>
        <a:solidFill>
          <a:srgbClr val="4CEAF6"/>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Reports</a:t>
          </a:r>
        </a:p>
      </xdr:txBody>
    </xdr:sp>
    <xdr:clientData fLocksWithSheet="0" fPrintsWithSheet="0"/>
  </xdr:twoCellAnchor>
  <xdr:twoCellAnchor editAs="absolute">
    <xdr:from>
      <xdr:col>0</xdr:col>
      <xdr:colOff>434849</xdr:colOff>
      <xdr:row>21</xdr:row>
      <xdr:rowOff>56043</xdr:rowOff>
    </xdr:from>
    <xdr:to>
      <xdr:col>3</xdr:col>
      <xdr:colOff>270942</xdr:colOff>
      <xdr:row>23</xdr:row>
      <xdr:rowOff>118001</xdr:rowOff>
    </xdr:to>
    <xdr:sp macro="" textlink="" fLocksText="0">
      <xdr:nvSpPr>
        <xdr:cNvPr id="11" name="Rectangle: Diagonal Corners Rounded 10">
          <a:extLst>
            <a:ext uri="{FF2B5EF4-FFF2-40B4-BE49-F238E27FC236}">
              <a16:creationId xmlns:a16="http://schemas.microsoft.com/office/drawing/2014/main" id="{75C1CDDF-E013-BD14-6B94-884A11B1C952}"/>
            </a:ext>
          </a:extLst>
        </xdr:cNvPr>
        <xdr:cNvSpPr>
          <a:spLocks noChangeAspect="1"/>
        </xdr:cNvSpPr>
      </xdr:nvSpPr>
      <xdr:spPr>
        <a:xfrm>
          <a:off x="434849" y="3502167"/>
          <a:ext cx="1655475" cy="390160"/>
        </a:xfrm>
        <a:prstGeom prst="round2DiagRect">
          <a:avLst/>
        </a:prstGeom>
        <a:solidFill>
          <a:srgbClr val="4CEAF6"/>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About</a:t>
          </a:r>
        </a:p>
      </xdr:txBody>
    </xdr:sp>
    <xdr:clientData fLocksWithSheet="0" fPrintsWithSheet="0"/>
  </xdr:twoCellAnchor>
  <xdr:twoCellAnchor editAs="oneCell">
    <xdr:from>
      <xdr:col>4</xdr:col>
      <xdr:colOff>430288</xdr:colOff>
      <xdr:row>8</xdr:row>
      <xdr:rowOff>120025</xdr:rowOff>
    </xdr:from>
    <xdr:to>
      <xdr:col>19</xdr:col>
      <xdr:colOff>464161</xdr:colOff>
      <xdr:row>12</xdr:row>
      <xdr:rowOff>134293</xdr:rowOff>
    </xdr:to>
    <mc:AlternateContent xmlns:mc="http://schemas.openxmlformats.org/markup-compatibility/2006">
      <mc:Choice xmlns:a14="http://schemas.microsoft.com/office/drawing/2010/main" Requires="a14">
        <xdr:graphicFrame macro="">
          <xdr:nvGraphicFramePr>
            <xdr:cNvPr id="12" name="Item 1">
              <a:extLst>
                <a:ext uri="{FF2B5EF4-FFF2-40B4-BE49-F238E27FC236}">
                  <a16:creationId xmlns:a16="http://schemas.microsoft.com/office/drawing/2014/main" id="{47CBCA2C-4534-4144-9E2E-60CBE125B1F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878481" y="1466531"/>
              <a:ext cx="9214596" cy="687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442360</xdr:colOff>
      <xdr:row>16</xdr:row>
      <xdr:rowOff>135560</xdr:rowOff>
    </xdr:from>
    <xdr:to>
      <xdr:col>8</xdr:col>
      <xdr:colOff>121294</xdr:colOff>
      <xdr:row>19</xdr:row>
      <xdr:rowOff>92752</xdr:rowOff>
    </xdr:to>
    <xdr:sp macro="" textlink="">
      <xdr:nvSpPr>
        <xdr:cNvPr id="13" name="Rectangle: Rounded Corners 12">
          <a:extLst>
            <a:ext uri="{FF2B5EF4-FFF2-40B4-BE49-F238E27FC236}">
              <a16:creationId xmlns:a16="http://schemas.microsoft.com/office/drawing/2014/main" id="{3298C4CD-2871-7A23-0C22-01BF6013B4D3}"/>
            </a:ext>
          </a:extLst>
        </xdr:cNvPr>
        <xdr:cNvSpPr/>
      </xdr:nvSpPr>
      <xdr:spPr>
        <a:xfrm>
          <a:off x="2868203" y="2761178"/>
          <a:ext cx="2104776" cy="44949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551951</xdr:colOff>
      <xdr:row>16</xdr:row>
      <xdr:rowOff>127000</xdr:rowOff>
    </xdr:from>
    <xdr:to>
      <xdr:col>8</xdr:col>
      <xdr:colOff>64214</xdr:colOff>
      <xdr:row>19</xdr:row>
      <xdr:rowOff>102456</xdr:rowOff>
    </xdr:to>
    <xdr:sp macro="" textlink="">
      <xdr:nvSpPr>
        <xdr:cNvPr id="14" name="Rectangle: Rounded Corners 13">
          <a:extLst>
            <a:ext uri="{FF2B5EF4-FFF2-40B4-BE49-F238E27FC236}">
              <a16:creationId xmlns:a16="http://schemas.microsoft.com/office/drawing/2014/main" id="{B392B97B-61C3-72F9-2E89-F7C72A6A8EC9}"/>
            </a:ext>
          </a:extLst>
        </xdr:cNvPr>
        <xdr:cNvSpPr/>
      </xdr:nvSpPr>
      <xdr:spPr>
        <a:xfrm>
          <a:off x="2979062" y="2723444"/>
          <a:ext cx="1939374" cy="46229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372814</xdr:colOff>
      <xdr:row>16</xdr:row>
      <xdr:rowOff>135562</xdr:rowOff>
    </xdr:from>
    <xdr:to>
      <xdr:col>11</xdr:col>
      <xdr:colOff>592191</xdr:colOff>
      <xdr:row>19</xdr:row>
      <xdr:rowOff>92754</xdr:rowOff>
    </xdr:to>
    <xdr:sp macro="" textlink="">
      <xdr:nvSpPr>
        <xdr:cNvPr id="16" name="Rectangle: Rounded Corners 15">
          <a:extLst>
            <a:ext uri="{FF2B5EF4-FFF2-40B4-BE49-F238E27FC236}">
              <a16:creationId xmlns:a16="http://schemas.microsoft.com/office/drawing/2014/main" id="{D5481EF8-03F7-4D04-9077-83FAF5DF3CEE}"/>
            </a:ext>
          </a:extLst>
        </xdr:cNvPr>
        <xdr:cNvSpPr/>
      </xdr:nvSpPr>
      <xdr:spPr>
        <a:xfrm>
          <a:off x="5224499" y="2761180"/>
          <a:ext cx="2038759" cy="449495"/>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536915</xdr:colOff>
      <xdr:row>16</xdr:row>
      <xdr:rowOff>135561</xdr:rowOff>
    </xdr:from>
    <xdr:to>
      <xdr:col>11</xdr:col>
      <xdr:colOff>535113</xdr:colOff>
      <xdr:row>19</xdr:row>
      <xdr:rowOff>92753</xdr:rowOff>
    </xdr:to>
    <xdr:sp macro="" textlink="">
      <xdr:nvSpPr>
        <xdr:cNvPr id="17" name="Rectangle: Rounded Corners 16">
          <a:extLst>
            <a:ext uri="{FF2B5EF4-FFF2-40B4-BE49-F238E27FC236}">
              <a16:creationId xmlns:a16="http://schemas.microsoft.com/office/drawing/2014/main" id="{F93CFB11-2DDE-4DA6-8E44-A615064D1DE1}"/>
            </a:ext>
          </a:extLst>
        </xdr:cNvPr>
        <xdr:cNvSpPr/>
      </xdr:nvSpPr>
      <xdr:spPr>
        <a:xfrm>
          <a:off x="5388600" y="2761179"/>
          <a:ext cx="1817580" cy="44949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458430</xdr:colOff>
      <xdr:row>20</xdr:row>
      <xdr:rowOff>42809</xdr:rowOff>
    </xdr:from>
    <xdr:to>
      <xdr:col>12</xdr:col>
      <xdr:colOff>42808</xdr:colOff>
      <xdr:row>33</xdr:row>
      <xdr:rowOff>85617</xdr:rowOff>
    </xdr:to>
    <xdr:sp macro="" textlink="">
      <xdr:nvSpPr>
        <xdr:cNvPr id="18" name="Rectangle: Rounded Corners 17">
          <a:extLst>
            <a:ext uri="{FF2B5EF4-FFF2-40B4-BE49-F238E27FC236}">
              <a16:creationId xmlns:a16="http://schemas.microsoft.com/office/drawing/2014/main" id="{47A9921F-0464-4FE5-998D-140424557063}"/>
            </a:ext>
          </a:extLst>
        </xdr:cNvPr>
        <xdr:cNvSpPr/>
      </xdr:nvSpPr>
      <xdr:spPr>
        <a:xfrm>
          <a:off x="2884273" y="3324831"/>
          <a:ext cx="4436063" cy="2176123"/>
        </a:xfrm>
        <a:prstGeom prst="roundRect">
          <a:avLst>
            <a:gd name="adj" fmla="val 103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271124</xdr:colOff>
      <xdr:row>15</xdr:row>
      <xdr:rowOff>142697</xdr:rowOff>
    </xdr:from>
    <xdr:to>
      <xdr:col>19</xdr:col>
      <xdr:colOff>463763</xdr:colOff>
      <xdr:row>23</xdr:row>
      <xdr:rowOff>135562</xdr:rowOff>
    </xdr:to>
    <xdr:sp macro="" textlink="">
      <xdr:nvSpPr>
        <xdr:cNvPr id="19" name="Rectangle: Rounded Corners 18">
          <a:extLst>
            <a:ext uri="{FF2B5EF4-FFF2-40B4-BE49-F238E27FC236}">
              <a16:creationId xmlns:a16="http://schemas.microsoft.com/office/drawing/2014/main" id="{C4AB64DB-F7EE-4A8E-8F62-63CC1F9D8C0B}"/>
            </a:ext>
          </a:extLst>
        </xdr:cNvPr>
        <xdr:cNvSpPr/>
      </xdr:nvSpPr>
      <xdr:spPr>
        <a:xfrm>
          <a:off x="7548652" y="2604214"/>
          <a:ext cx="4437864" cy="1305674"/>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266949</xdr:colOff>
      <xdr:row>25</xdr:row>
      <xdr:rowOff>42809</xdr:rowOff>
    </xdr:from>
    <xdr:to>
      <xdr:col>19</xdr:col>
      <xdr:colOff>503414</xdr:colOff>
      <xdr:row>33</xdr:row>
      <xdr:rowOff>66783</xdr:rowOff>
    </xdr:to>
    <xdr:sp macro="" textlink="">
      <xdr:nvSpPr>
        <xdr:cNvPr id="21" name="Rectangle: Rounded Corners 20">
          <a:extLst>
            <a:ext uri="{FF2B5EF4-FFF2-40B4-BE49-F238E27FC236}">
              <a16:creationId xmlns:a16="http://schemas.microsoft.com/office/drawing/2014/main" id="{FCFF2FAD-2680-EC62-FC85-DF13DACD814F}"/>
            </a:ext>
          </a:extLst>
        </xdr:cNvPr>
        <xdr:cNvSpPr/>
      </xdr:nvSpPr>
      <xdr:spPr>
        <a:xfrm>
          <a:off x="7544477" y="4145337"/>
          <a:ext cx="4481690" cy="1336783"/>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585057</xdr:colOff>
      <xdr:row>16</xdr:row>
      <xdr:rowOff>156967</xdr:rowOff>
    </xdr:from>
    <xdr:to>
      <xdr:col>9</xdr:col>
      <xdr:colOff>456630</xdr:colOff>
      <xdr:row>19</xdr:row>
      <xdr:rowOff>107024</xdr:rowOff>
    </xdr:to>
    <xdr:pic>
      <xdr:nvPicPr>
        <xdr:cNvPr id="23" name="Graphic 22" descr="Business Growth with solid fill">
          <a:extLst>
            <a:ext uri="{FF2B5EF4-FFF2-40B4-BE49-F238E27FC236}">
              <a16:creationId xmlns:a16="http://schemas.microsoft.com/office/drawing/2014/main" id="{7CB5911F-0969-064D-4FDD-B6435A46855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436742" y="2782585"/>
          <a:ext cx="478034" cy="442360"/>
        </a:xfrm>
        <a:prstGeom prst="rect">
          <a:avLst/>
        </a:prstGeom>
      </xdr:spPr>
    </xdr:pic>
    <xdr:clientData/>
  </xdr:twoCellAnchor>
  <xdr:twoCellAnchor editAs="oneCell">
    <xdr:from>
      <xdr:col>4</xdr:col>
      <xdr:colOff>543725</xdr:colOff>
      <xdr:row>13</xdr:row>
      <xdr:rowOff>129907</xdr:rowOff>
    </xdr:from>
    <xdr:to>
      <xdr:col>5</xdr:col>
      <xdr:colOff>371010</xdr:colOff>
      <xdr:row>16</xdr:row>
      <xdr:rowOff>71349</xdr:rowOff>
    </xdr:to>
    <xdr:pic>
      <xdr:nvPicPr>
        <xdr:cNvPr id="25" name="Graphic 24" descr="Document with solid fill">
          <a:extLst>
            <a:ext uri="{FF2B5EF4-FFF2-40B4-BE49-F238E27FC236}">
              <a16:creationId xmlns:a16="http://schemas.microsoft.com/office/drawing/2014/main" id="{E7DDFEC0-160C-11F8-B68A-217321B2572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69568" y="2263222"/>
          <a:ext cx="433745" cy="433745"/>
        </a:xfrm>
        <a:prstGeom prst="rect">
          <a:avLst/>
        </a:prstGeom>
      </xdr:spPr>
    </xdr:pic>
    <xdr:clientData/>
  </xdr:twoCellAnchor>
  <xdr:twoCellAnchor editAs="oneCell">
    <xdr:from>
      <xdr:col>4</xdr:col>
      <xdr:colOff>592191</xdr:colOff>
      <xdr:row>17</xdr:row>
      <xdr:rowOff>1</xdr:rowOff>
    </xdr:from>
    <xdr:to>
      <xdr:col>5</xdr:col>
      <xdr:colOff>285394</xdr:colOff>
      <xdr:row>19</xdr:row>
      <xdr:rowOff>49945</xdr:rowOff>
    </xdr:to>
    <xdr:pic>
      <xdr:nvPicPr>
        <xdr:cNvPr id="27" name="Graphic 26" descr="Dollar with solid fill">
          <a:extLst>
            <a:ext uri="{FF2B5EF4-FFF2-40B4-BE49-F238E27FC236}">
              <a16:creationId xmlns:a16="http://schemas.microsoft.com/office/drawing/2014/main" id="{9BBF4E0B-58B3-3A30-A695-6C60D4698E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18034" y="2789720"/>
          <a:ext cx="299663" cy="378146"/>
        </a:xfrm>
        <a:prstGeom prst="rect">
          <a:avLst/>
        </a:prstGeom>
      </xdr:spPr>
    </xdr:pic>
    <xdr:clientData/>
  </xdr:twoCellAnchor>
  <xdr:twoCellAnchor editAs="oneCell">
    <xdr:from>
      <xdr:col>8</xdr:col>
      <xdr:colOff>28539</xdr:colOff>
      <xdr:row>13</xdr:row>
      <xdr:rowOff>149832</xdr:rowOff>
    </xdr:from>
    <xdr:to>
      <xdr:col>8</xdr:col>
      <xdr:colOff>513708</xdr:colOff>
      <xdr:row>16</xdr:row>
      <xdr:rowOff>121293</xdr:rowOff>
    </xdr:to>
    <xdr:pic>
      <xdr:nvPicPr>
        <xdr:cNvPr id="32" name="Graphic 31" descr="Bar graph with upward trend with solid fill">
          <a:extLst>
            <a:ext uri="{FF2B5EF4-FFF2-40B4-BE49-F238E27FC236}">
              <a16:creationId xmlns:a16="http://schemas.microsoft.com/office/drawing/2014/main" id="{75AA61E5-9397-4ABF-8F09-C9DEDF535EE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880224" y="2283147"/>
          <a:ext cx="485169" cy="463764"/>
        </a:xfrm>
        <a:prstGeom prst="rect">
          <a:avLst/>
        </a:prstGeom>
      </xdr:spPr>
    </xdr:pic>
    <xdr:clientData/>
  </xdr:twoCellAnchor>
  <xdr:twoCellAnchor>
    <xdr:from>
      <xdr:col>5</xdr:col>
      <xdr:colOff>499439</xdr:colOff>
      <xdr:row>13</xdr:row>
      <xdr:rowOff>135561</xdr:rowOff>
    </xdr:from>
    <xdr:to>
      <xdr:col>7</xdr:col>
      <xdr:colOff>549382</xdr:colOff>
      <xdr:row>15</xdr:row>
      <xdr:rowOff>92752</xdr:rowOff>
    </xdr:to>
    <xdr:sp macro="" textlink="">
      <xdr:nvSpPr>
        <xdr:cNvPr id="33" name="Rectangle 32">
          <a:extLst>
            <a:ext uri="{FF2B5EF4-FFF2-40B4-BE49-F238E27FC236}">
              <a16:creationId xmlns:a16="http://schemas.microsoft.com/office/drawing/2014/main" id="{A92F46C5-03F8-58BF-EC2B-31D437D19149}"/>
            </a:ext>
          </a:extLst>
        </xdr:cNvPr>
        <xdr:cNvSpPr/>
      </xdr:nvSpPr>
      <xdr:spPr>
        <a:xfrm>
          <a:off x="3531742" y="2268876"/>
          <a:ext cx="1262865" cy="2853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Data Analytics</a:t>
          </a:r>
        </a:p>
      </xdr:txBody>
    </xdr:sp>
    <xdr:clientData/>
  </xdr:twoCellAnchor>
  <xdr:twoCellAnchor>
    <xdr:from>
      <xdr:col>5</xdr:col>
      <xdr:colOff>413819</xdr:colOff>
      <xdr:row>16</xdr:row>
      <xdr:rowOff>114157</xdr:rowOff>
    </xdr:from>
    <xdr:to>
      <xdr:col>8</xdr:col>
      <xdr:colOff>7134</xdr:colOff>
      <xdr:row>18</xdr:row>
      <xdr:rowOff>7135</xdr:rowOff>
    </xdr:to>
    <xdr:sp macro="" textlink="">
      <xdr:nvSpPr>
        <xdr:cNvPr id="37" name="Rectangle 36">
          <a:extLst>
            <a:ext uri="{FF2B5EF4-FFF2-40B4-BE49-F238E27FC236}">
              <a16:creationId xmlns:a16="http://schemas.microsoft.com/office/drawing/2014/main" id="{04481496-2C67-ECCE-A04E-68DC469BBF47}"/>
            </a:ext>
          </a:extLst>
        </xdr:cNvPr>
        <xdr:cNvSpPr/>
      </xdr:nvSpPr>
      <xdr:spPr>
        <a:xfrm>
          <a:off x="3446122" y="2739775"/>
          <a:ext cx="1412697" cy="221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  Toatal</a:t>
          </a:r>
          <a:r>
            <a:rPr lang="en-US" sz="1400" b="1" baseline="0">
              <a:solidFill>
                <a:schemeClr val="tx1"/>
              </a:solidFill>
            </a:rPr>
            <a:t>  Amount</a:t>
          </a:r>
          <a:endParaRPr lang="en-US" sz="1400" b="1">
            <a:solidFill>
              <a:schemeClr val="tx1"/>
            </a:solidFill>
          </a:endParaRPr>
        </a:p>
      </xdr:txBody>
    </xdr:sp>
    <xdr:clientData/>
  </xdr:twoCellAnchor>
  <xdr:twoCellAnchor>
    <xdr:from>
      <xdr:col>9</xdr:col>
      <xdr:colOff>563652</xdr:colOff>
      <xdr:row>16</xdr:row>
      <xdr:rowOff>142697</xdr:rowOff>
    </xdr:from>
    <xdr:to>
      <xdr:col>11</xdr:col>
      <xdr:colOff>478034</xdr:colOff>
      <xdr:row>18</xdr:row>
      <xdr:rowOff>71349</xdr:rowOff>
    </xdr:to>
    <xdr:sp macro="" textlink="">
      <xdr:nvSpPr>
        <xdr:cNvPr id="39" name="Rectangle 38">
          <a:extLst>
            <a:ext uri="{FF2B5EF4-FFF2-40B4-BE49-F238E27FC236}">
              <a16:creationId xmlns:a16="http://schemas.microsoft.com/office/drawing/2014/main" id="{D20A8D50-4CBD-A5C1-8AEE-1BBD52FF64DF}"/>
            </a:ext>
          </a:extLst>
        </xdr:cNvPr>
        <xdr:cNvSpPr/>
      </xdr:nvSpPr>
      <xdr:spPr>
        <a:xfrm>
          <a:off x="6021798" y="2768315"/>
          <a:ext cx="1127303" cy="256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Total Sales</a:t>
          </a:r>
        </a:p>
      </xdr:txBody>
    </xdr:sp>
    <xdr:clientData/>
  </xdr:twoCellAnchor>
  <xdr:twoCellAnchor>
    <xdr:from>
      <xdr:col>12</xdr:col>
      <xdr:colOff>463764</xdr:colOff>
      <xdr:row>15</xdr:row>
      <xdr:rowOff>156966</xdr:rowOff>
    </xdr:from>
    <xdr:to>
      <xdr:col>15</xdr:col>
      <xdr:colOff>413820</xdr:colOff>
      <xdr:row>18</xdr:row>
      <xdr:rowOff>85618</xdr:rowOff>
    </xdr:to>
    <xdr:sp macro="" textlink="">
      <xdr:nvSpPr>
        <xdr:cNvPr id="40" name="Rectangle 39">
          <a:extLst>
            <a:ext uri="{FF2B5EF4-FFF2-40B4-BE49-F238E27FC236}">
              <a16:creationId xmlns:a16="http://schemas.microsoft.com/office/drawing/2014/main" id="{54140BA5-5015-5E6B-919E-9B6AF66A5BA2}"/>
            </a:ext>
          </a:extLst>
        </xdr:cNvPr>
        <xdr:cNvSpPr/>
      </xdr:nvSpPr>
      <xdr:spPr>
        <a:xfrm>
          <a:off x="7741292" y="2618483"/>
          <a:ext cx="1769438" cy="4209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Regional</a:t>
          </a:r>
          <a:r>
            <a:rPr lang="en-US" sz="1400" b="1" baseline="0">
              <a:solidFill>
                <a:schemeClr val="tx1"/>
              </a:solidFill>
            </a:rPr>
            <a:t>  Sales</a:t>
          </a:r>
          <a:endParaRPr lang="en-US" sz="1400" b="1">
            <a:solidFill>
              <a:schemeClr val="tx1"/>
            </a:solidFill>
          </a:endParaRPr>
        </a:p>
      </xdr:txBody>
    </xdr:sp>
    <xdr:clientData/>
  </xdr:twoCellAnchor>
  <xdr:twoCellAnchor>
    <xdr:from>
      <xdr:col>12</xdr:col>
      <xdr:colOff>478034</xdr:colOff>
      <xdr:row>25</xdr:row>
      <xdr:rowOff>78484</xdr:rowOff>
    </xdr:from>
    <xdr:to>
      <xdr:col>15</xdr:col>
      <xdr:colOff>492304</xdr:colOff>
      <xdr:row>27</xdr:row>
      <xdr:rowOff>49945</xdr:rowOff>
    </xdr:to>
    <xdr:sp macro="" textlink="">
      <xdr:nvSpPr>
        <xdr:cNvPr id="41" name="Rectangle 40">
          <a:extLst>
            <a:ext uri="{FF2B5EF4-FFF2-40B4-BE49-F238E27FC236}">
              <a16:creationId xmlns:a16="http://schemas.microsoft.com/office/drawing/2014/main" id="{6B8C1D9C-330B-DFF2-C5EE-F94E8FE980BD}"/>
            </a:ext>
          </a:extLst>
        </xdr:cNvPr>
        <xdr:cNvSpPr/>
      </xdr:nvSpPr>
      <xdr:spPr>
        <a:xfrm>
          <a:off x="7755562" y="4181012"/>
          <a:ext cx="1833652" cy="2996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Monthly Sale Report</a:t>
          </a:r>
        </a:p>
      </xdr:txBody>
    </xdr:sp>
    <xdr:clientData/>
  </xdr:twoCellAnchor>
  <xdr:twoCellAnchor>
    <xdr:from>
      <xdr:col>4</xdr:col>
      <xdr:colOff>570786</xdr:colOff>
      <xdr:row>20</xdr:row>
      <xdr:rowOff>64214</xdr:rowOff>
    </xdr:from>
    <xdr:to>
      <xdr:col>8</xdr:col>
      <xdr:colOff>107023</xdr:colOff>
      <xdr:row>22</xdr:row>
      <xdr:rowOff>85618</xdr:rowOff>
    </xdr:to>
    <xdr:sp macro="" textlink="">
      <xdr:nvSpPr>
        <xdr:cNvPr id="42" name="Rectangle 41">
          <a:extLst>
            <a:ext uri="{FF2B5EF4-FFF2-40B4-BE49-F238E27FC236}">
              <a16:creationId xmlns:a16="http://schemas.microsoft.com/office/drawing/2014/main" id="{AA566E92-2630-5604-C968-A46794BFE844}"/>
            </a:ext>
          </a:extLst>
        </xdr:cNvPr>
        <xdr:cNvSpPr/>
      </xdr:nvSpPr>
      <xdr:spPr>
        <a:xfrm>
          <a:off x="2996629" y="3346236"/>
          <a:ext cx="1962079" cy="3496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Product Sales</a:t>
          </a:r>
        </a:p>
      </xdr:txBody>
    </xdr:sp>
    <xdr:clientData/>
  </xdr:twoCellAnchor>
  <xdr:twoCellAnchor>
    <xdr:from>
      <xdr:col>12</xdr:col>
      <xdr:colOff>271124</xdr:colOff>
      <xdr:row>17</xdr:row>
      <xdr:rowOff>78484</xdr:rowOff>
    </xdr:from>
    <xdr:to>
      <xdr:col>18</xdr:col>
      <xdr:colOff>7135</xdr:colOff>
      <xdr:row>23</xdr:row>
      <xdr:rowOff>107023</xdr:rowOff>
    </xdr:to>
    <xdr:graphicFrame macro="">
      <xdr:nvGraphicFramePr>
        <xdr:cNvPr id="44" name="Chart 43">
          <a:extLst>
            <a:ext uri="{FF2B5EF4-FFF2-40B4-BE49-F238E27FC236}">
              <a16:creationId xmlns:a16="http://schemas.microsoft.com/office/drawing/2014/main" id="{6CCC5051-1A7F-48F6-94EB-A229239CE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266949</xdr:colOff>
      <xdr:row>27</xdr:row>
      <xdr:rowOff>14270</xdr:rowOff>
    </xdr:from>
    <xdr:to>
      <xdr:col>18</xdr:col>
      <xdr:colOff>378146</xdr:colOff>
      <xdr:row>33</xdr:row>
      <xdr:rowOff>57078</xdr:rowOff>
    </xdr:to>
    <xdr:graphicFrame macro="">
      <xdr:nvGraphicFramePr>
        <xdr:cNvPr id="45" name="Chart 44">
          <a:extLst>
            <a:ext uri="{FF2B5EF4-FFF2-40B4-BE49-F238E27FC236}">
              <a16:creationId xmlns:a16="http://schemas.microsoft.com/office/drawing/2014/main" id="{39493390-8786-453E-9832-C93FF4BE0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565452</xdr:colOff>
      <xdr:row>22</xdr:row>
      <xdr:rowOff>14270</xdr:rowOff>
    </xdr:from>
    <xdr:to>
      <xdr:col>10</xdr:col>
      <xdr:colOff>117563</xdr:colOff>
      <xdr:row>32</xdr:row>
      <xdr:rowOff>116334</xdr:rowOff>
    </xdr:to>
    <xdr:graphicFrame macro="">
      <xdr:nvGraphicFramePr>
        <xdr:cNvPr id="46" name="Chart 45">
          <a:extLst>
            <a:ext uri="{FF2B5EF4-FFF2-40B4-BE49-F238E27FC236}">
              <a16:creationId xmlns:a16="http://schemas.microsoft.com/office/drawing/2014/main" id="{AC5B927D-6629-4405-8940-519CEEA5F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14111</xdr:colOff>
      <xdr:row>17</xdr:row>
      <xdr:rowOff>119946</xdr:rowOff>
    </xdr:from>
    <xdr:to>
      <xdr:col>7</xdr:col>
      <xdr:colOff>218723</xdr:colOff>
      <xdr:row>19</xdr:row>
      <xdr:rowOff>7056</xdr:rowOff>
    </xdr:to>
    <xdr:sp macro="" textlink="">
      <xdr:nvSpPr>
        <xdr:cNvPr id="47" name="Rectangle: Rounded Corners 46">
          <a:extLst>
            <a:ext uri="{FF2B5EF4-FFF2-40B4-BE49-F238E27FC236}">
              <a16:creationId xmlns:a16="http://schemas.microsoft.com/office/drawing/2014/main" id="{22404465-DB6E-3919-B9A4-BA30425DEB85}"/>
            </a:ext>
          </a:extLst>
        </xdr:cNvPr>
        <xdr:cNvSpPr/>
      </xdr:nvSpPr>
      <xdr:spPr>
        <a:xfrm>
          <a:off x="3654778" y="2878668"/>
          <a:ext cx="811389" cy="21166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accent5">
                  <a:lumMod val="75000"/>
                </a:schemeClr>
              </a:solidFill>
              <a:effectLst/>
              <a:latin typeface="+mn-lt"/>
              <a:ea typeface="+mn-ea"/>
              <a:cs typeface="+mn-cs"/>
            </a:rPr>
            <a:t>85,370</a:t>
          </a:r>
          <a:r>
            <a:rPr lang="en-US">
              <a:effectLst/>
            </a:rPr>
            <a:t> </a:t>
          </a:r>
          <a:endParaRPr lang="en-US" sz="1100"/>
        </a:p>
      </xdr:txBody>
    </xdr:sp>
    <xdr:clientData/>
  </xdr:twoCellAnchor>
  <xdr:twoCellAnchor>
    <xdr:from>
      <xdr:col>10</xdr:col>
      <xdr:colOff>303389</xdr:colOff>
      <xdr:row>18</xdr:row>
      <xdr:rowOff>77611</xdr:rowOff>
    </xdr:from>
    <xdr:to>
      <xdr:col>11</xdr:col>
      <xdr:colOff>338666</xdr:colOff>
      <xdr:row>19</xdr:row>
      <xdr:rowOff>63500</xdr:rowOff>
    </xdr:to>
    <xdr:sp macro="" textlink="">
      <xdr:nvSpPr>
        <xdr:cNvPr id="48" name="Rectangle: Rounded Corners 47">
          <a:extLst>
            <a:ext uri="{FF2B5EF4-FFF2-40B4-BE49-F238E27FC236}">
              <a16:creationId xmlns:a16="http://schemas.microsoft.com/office/drawing/2014/main" id="{E4D94FA5-F057-F123-75C0-C818E9E81903}"/>
            </a:ext>
          </a:extLst>
        </xdr:cNvPr>
        <xdr:cNvSpPr/>
      </xdr:nvSpPr>
      <xdr:spPr>
        <a:xfrm>
          <a:off x="6371167" y="2998611"/>
          <a:ext cx="642055" cy="14816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accent5">
                  <a:lumMod val="75000"/>
                </a:schemeClr>
              </a:solidFill>
              <a:effectLst/>
              <a:latin typeface="+mn-lt"/>
              <a:ea typeface="+mn-ea"/>
              <a:cs typeface="+mn-cs"/>
            </a:rPr>
            <a:t>5</a:t>
          </a:r>
          <a:r>
            <a:rPr lang="en-US" sz="1400" b="1">
              <a:solidFill>
                <a:schemeClr val="accent5">
                  <a:lumMod val="75000"/>
                </a:schemeClr>
              </a:solidFill>
              <a:effectLst/>
            </a:rPr>
            <a:t> </a:t>
          </a:r>
          <a:endParaRPr lang="en-US" sz="1400" b="1">
            <a:solidFill>
              <a:schemeClr val="accent5">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roali" refreshedDate="46134.568207638891" createdVersion="8" refreshedVersion="8" minRefreshableVersion="3" recordCount="82" xr:uid="{AC2C4C2B-8BFA-426A-A726-4D598257C3EC}">
  <cacheSource type="worksheet">
    <worksheetSource ref="A1:H83" sheet="Sales Data"/>
  </cacheSource>
  <cacheFields count="9">
    <cacheField name="Sl.No" numFmtId="0">
      <sharedItems containsMixedTypes="1" containsNumber="1" containsInteger="1" minValue="1" maxValue="81"/>
    </cacheField>
    <cacheField name="Date" numFmtId="0">
      <sharedItems containsNonDate="0" containsDate="1" containsString="0" containsBlank="1" minDate="2025-09-16T00:00:00" maxDate="2025-12-06T00:00:00" count="82">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m/>
      </sharedItems>
      <fieldGroup par="8"/>
    </cacheField>
    <cacheField name="Customer" numFmtId="0">
      <sharedItems containsBlank="1"/>
    </cacheField>
    <cacheField name="Region" numFmtId="0">
      <sharedItems containsBlank="1" count="5">
        <s v="North"/>
        <s v="South"/>
        <s v="East"/>
        <s v="West"/>
        <m/>
      </sharedItems>
    </cacheField>
    <cacheField name="Item" numFmtId="0">
      <sharedItems containsBlank="1" count="8">
        <s v="Notebook"/>
        <s v="Charger"/>
        <s v="Backpack"/>
        <s v="Pen Set"/>
        <s v="Desk Lamp"/>
        <s v="Chair"/>
        <s v="USB Drive"/>
        <m/>
      </sharedItems>
    </cacheField>
    <cacheField name="Qty" numFmtId="0">
      <sharedItems containsSemiMixedTypes="0" containsString="0" containsNumber="1" containsInteger="1" minValue="10" maxValue="3105"/>
    </cacheField>
    <cacheField name="Price" numFmtId="0">
      <sharedItems containsString="0" containsBlank="1" containsNumber="1" containsInteger="1" minValue="50" maxValue="8000"/>
    </cacheField>
    <cacheField name="Amount" numFmtId="0">
      <sharedItems containsSemiMixedTypes="0" containsString="0" containsNumber="1" containsInteger="1" minValue="1050" maxValue="3213330"/>
    </cacheField>
    <cacheField name="Months (Date)" numFmtId="0" databaseField="0">
      <fieldGroup base="1">
        <rangePr groupBy="months" startDate="2025-09-16T00:00:00" endDate="2025-12-06T00:00:00"/>
        <groupItems count="14">
          <s v="&lt;9/16/2025"/>
          <s v="Jan"/>
          <s v="Feb"/>
          <s v="Mar"/>
          <s v="Apr"/>
          <s v="May"/>
          <s v="Jun"/>
          <s v="Jul"/>
          <s v="Aug"/>
          <s v="Sep"/>
          <s v="Oct"/>
          <s v="Nov"/>
          <s v="Dec"/>
          <s v="&gt;12/6/2025"/>
        </groupItems>
      </fieldGroup>
    </cacheField>
  </cacheFields>
  <extLst>
    <ext xmlns:x14="http://schemas.microsoft.com/office/spreadsheetml/2009/9/main" uri="{725AE2AE-9491-48be-B2B4-4EB974FC3084}">
      <x14:pivotCacheDefinition pivotCacheId="1993759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n v="1"/>
    <x v="0"/>
    <s v="Emily Johnson"/>
    <x v="0"/>
    <x v="0"/>
    <n v="21"/>
    <n v="50"/>
    <n v="1050"/>
  </r>
  <r>
    <n v="2"/>
    <x v="1"/>
    <s v="Olivia Brown"/>
    <x v="1"/>
    <x v="1"/>
    <n v="36"/>
    <n v="500"/>
    <n v="18000"/>
  </r>
  <r>
    <n v="3"/>
    <x v="2"/>
    <s v="Ramesh Kumar"/>
    <x v="2"/>
    <x v="2"/>
    <n v="32"/>
    <n v="120"/>
    <n v="3840"/>
  </r>
  <r>
    <n v="4"/>
    <x v="3"/>
    <s v="Maria Angelica"/>
    <x v="3"/>
    <x v="3"/>
    <n v="21"/>
    <n v="50"/>
    <n v="1050"/>
  </r>
  <r>
    <n v="5"/>
    <x v="4"/>
    <s v="Mohammad Ali"/>
    <x v="0"/>
    <x v="4"/>
    <n v="23"/>
    <n v="8000"/>
    <n v="184000"/>
  </r>
  <r>
    <n v="6"/>
    <x v="5"/>
    <s v="Fatima Al Mak"/>
    <x v="1"/>
    <x v="5"/>
    <n v="10"/>
    <n v="600"/>
    <n v="6000"/>
  </r>
  <r>
    <n v="7"/>
    <x v="6"/>
    <s v="Ethan Lee"/>
    <x v="3"/>
    <x v="4"/>
    <n v="25"/>
    <n v="152"/>
    <n v="3800"/>
  </r>
  <r>
    <n v="8"/>
    <x v="7"/>
    <s v="Ava Jenkins"/>
    <x v="2"/>
    <x v="6"/>
    <n v="63"/>
    <n v="500"/>
    <n v="31500"/>
  </r>
  <r>
    <n v="9"/>
    <x v="8"/>
    <s v="Lukas Müller"/>
    <x v="0"/>
    <x v="0"/>
    <n v="45"/>
    <n v="500"/>
    <n v="22500"/>
  </r>
  <r>
    <n v="10"/>
    <x v="9"/>
    <s v="Yui Nakamura"/>
    <x v="0"/>
    <x v="1"/>
    <n v="56"/>
    <n v="6000"/>
    <n v="336000"/>
  </r>
  <r>
    <n v="11"/>
    <x v="10"/>
    <s v="Maria Angelica"/>
    <x v="1"/>
    <x v="2"/>
    <n v="21"/>
    <n v="120"/>
    <n v="2520"/>
  </r>
  <r>
    <n v="12"/>
    <x v="11"/>
    <s v="Mohammad Ali"/>
    <x v="1"/>
    <x v="3"/>
    <n v="36"/>
    <n v="230"/>
    <n v="8280"/>
  </r>
  <r>
    <n v="13"/>
    <x v="12"/>
    <s v="Fatima Al Mak"/>
    <x v="2"/>
    <x v="4"/>
    <n v="32"/>
    <n v="600"/>
    <n v="19200"/>
  </r>
  <r>
    <n v="14"/>
    <x v="13"/>
    <s v="Ethan Lee"/>
    <x v="2"/>
    <x v="5"/>
    <n v="21"/>
    <n v="100"/>
    <n v="2100"/>
  </r>
  <r>
    <n v="15"/>
    <x v="14"/>
    <s v="Ava Jenkins"/>
    <x v="3"/>
    <x v="4"/>
    <n v="23"/>
    <n v="200"/>
    <n v="4600"/>
  </r>
  <r>
    <n v="16"/>
    <x v="15"/>
    <s v="Lukas Müller"/>
    <x v="2"/>
    <x v="6"/>
    <n v="10"/>
    <n v="300"/>
    <n v="3000"/>
  </r>
  <r>
    <n v="17"/>
    <x v="16"/>
    <s v="Yui Nakamura"/>
    <x v="3"/>
    <x v="3"/>
    <n v="25"/>
    <n v="200"/>
    <n v="5000"/>
  </r>
  <r>
    <n v="18"/>
    <x v="17"/>
    <s v="Maria Angelica"/>
    <x v="0"/>
    <x v="4"/>
    <n v="63"/>
    <n v="300"/>
    <n v="18900"/>
  </r>
  <r>
    <n v="19"/>
    <x v="18"/>
    <s v="Mohammad Ali"/>
    <x v="1"/>
    <x v="5"/>
    <n v="45"/>
    <n v="140"/>
    <n v="6300"/>
  </r>
  <r>
    <n v="20"/>
    <x v="19"/>
    <s v="Fatima Al Mak"/>
    <x v="2"/>
    <x v="4"/>
    <n v="56"/>
    <n v="500"/>
    <n v="28000"/>
  </r>
  <r>
    <n v="21"/>
    <x v="20"/>
    <s v="Ethan Lee"/>
    <x v="3"/>
    <x v="6"/>
    <n v="21"/>
    <n v="300"/>
    <n v="6300"/>
  </r>
  <r>
    <n v="22"/>
    <x v="21"/>
    <s v="Ava Jenkins"/>
    <x v="0"/>
    <x v="0"/>
    <n v="36"/>
    <n v="630"/>
    <n v="22680"/>
  </r>
  <r>
    <n v="23"/>
    <x v="22"/>
    <s v="Lukas Müller"/>
    <x v="1"/>
    <x v="1"/>
    <n v="32"/>
    <n v="220"/>
    <n v="7040"/>
  </r>
  <r>
    <n v="24"/>
    <x v="23"/>
    <s v="Yui Nakamura"/>
    <x v="3"/>
    <x v="2"/>
    <n v="21"/>
    <n v="300"/>
    <n v="6300"/>
  </r>
  <r>
    <n v="25"/>
    <x v="24"/>
    <s v="Mohammad Ali"/>
    <x v="0"/>
    <x v="3"/>
    <n v="17"/>
    <n v="200"/>
    <n v="3400"/>
  </r>
  <r>
    <n v="26"/>
    <x v="25"/>
    <s v="Fatima Al Mak"/>
    <x v="1"/>
    <x v="4"/>
    <n v="57"/>
    <n v="8000"/>
    <n v="456000"/>
  </r>
  <r>
    <n v="27"/>
    <x v="26"/>
    <s v="Ethan Lee"/>
    <x v="2"/>
    <x v="5"/>
    <n v="25"/>
    <n v="100"/>
    <n v="2500"/>
  </r>
  <r>
    <n v="28"/>
    <x v="27"/>
    <s v="Ava Jenkins"/>
    <x v="3"/>
    <x v="6"/>
    <n v="18"/>
    <n v="500"/>
    <n v="9000"/>
  </r>
  <r>
    <n v="29"/>
    <x v="28"/>
    <s v="Lukas Müller"/>
    <x v="0"/>
    <x v="0"/>
    <n v="16"/>
    <n v="630"/>
    <n v="10080"/>
  </r>
  <r>
    <n v="30"/>
    <x v="29"/>
    <s v="Yui Nakamura"/>
    <x v="1"/>
    <x v="1"/>
    <n v="57"/>
    <n v="6000"/>
    <n v="342000"/>
  </r>
  <r>
    <n v="31"/>
    <x v="30"/>
    <s v="Emily Johnson"/>
    <x v="2"/>
    <x v="2"/>
    <n v="47"/>
    <n v="120"/>
    <n v="5640"/>
  </r>
  <r>
    <n v="32"/>
    <x v="31"/>
    <s v="Olivia Brown"/>
    <x v="3"/>
    <x v="3"/>
    <n v="12"/>
    <n v="230"/>
    <n v="2760"/>
  </r>
  <r>
    <n v="33"/>
    <x v="32"/>
    <s v="Ramesh Kumar"/>
    <x v="0"/>
    <x v="4"/>
    <n v="15"/>
    <n v="8000"/>
    <n v="120000"/>
  </r>
  <r>
    <n v="34"/>
    <x v="33"/>
    <s v="Maria Angelica"/>
    <x v="1"/>
    <x v="5"/>
    <n v="24"/>
    <n v="600"/>
    <n v="14400"/>
  </r>
  <r>
    <n v="35"/>
    <x v="34"/>
    <s v="Mohammad Ali"/>
    <x v="2"/>
    <x v="6"/>
    <n v="45"/>
    <n v="500"/>
    <n v="22500"/>
  </r>
  <r>
    <n v="36"/>
    <x v="35"/>
    <s v="Fatima Al Mak"/>
    <x v="3"/>
    <x v="0"/>
    <n v="55"/>
    <n v="50"/>
    <n v="2750"/>
  </r>
  <r>
    <n v="37"/>
    <x v="36"/>
    <s v="Ethan Lee"/>
    <x v="0"/>
    <x v="1"/>
    <n v="54"/>
    <n v="6000"/>
    <n v="324000"/>
  </r>
  <r>
    <n v="38"/>
    <x v="37"/>
    <s v="Ava Jenkins"/>
    <x v="1"/>
    <x v="2"/>
    <n v="24"/>
    <n v="300"/>
    <n v="7200"/>
  </r>
  <r>
    <n v="39"/>
    <x v="38"/>
    <s v="Lukas Müller"/>
    <x v="2"/>
    <x v="3"/>
    <n v="47"/>
    <n v="230"/>
    <n v="10810"/>
  </r>
  <r>
    <n v="40"/>
    <x v="39"/>
    <s v="Yui Nakamura"/>
    <x v="3"/>
    <x v="4"/>
    <n v="61"/>
    <n v="200"/>
    <n v="12200"/>
  </r>
  <r>
    <n v="41"/>
    <x v="40"/>
    <s v="Emily Johnson"/>
    <x v="0"/>
    <x v="5"/>
    <n v="58"/>
    <n v="600"/>
    <n v="34800"/>
  </r>
  <r>
    <n v="42"/>
    <x v="41"/>
    <s v="Olivia Brown"/>
    <x v="1"/>
    <x v="6"/>
    <n v="54"/>
    <n v="500"/>
    <n v="27000"/>
  </r>
  <r>
    <n v="43"/>
    <x v="42"/>
    <s v="Ramesh Kumar"/>
    <x v="2"/>
    <x v="0"/>
    <n v="31"/>
    <n v="500"/>
    <n v="15500"/>
  </r>
  <r>
    <n v="44"/>
    <x v="43"/>
    <s v="Maria Angelica"/>
    <x v="3"/>
    <x v="1"/>
    <n v="19"/>
    <n v="220"/>
    <n v="4180"/>
  </r>
  <r>
    <n v="45"/>
    <x v="44"/>
    <s v="Mohammad Ali"/>
    <x v="0"/>
    <x v="2"/>
    <n v="58"/>
    <n v="120"/>
    <n v="6960"/>
  </r>
  <r>
    <n v="46"/>
    <x v="45"/>
    <s v="Fatima Al Mak"/>
    <x v="1"/>
    <x v="3"/>
    <n v="16"/>
    <n v="230"/>
    <n v="3680"/>
  </r>
  <r>
    <n v="47"/>
    <x v="46"/>
    <s v="Ethan Lee"/>
    <x v="2"/>
    <x v="4"/>
    <n v="34"/>
    <n v="8000"/>
    <n v="272000"/>
  </r>
  <r>
    <n v="48"/>
    <x v="47"/>
    <s v="Ava Jenkins"/>
    <x v="3"/>
    <x v="5"/>
    <n v="32"/>
    <n v="600"/>
    <n v="19200"/>
  </r>
  <r>
    <n v="49"/>
    <x v="48"/>
    <s v="Lukas Müller"/>
    <x v="0"/>
    <x v="6"/>
    <n v="48"/>
    <n v="300"/>
    <n v="14400"/>
  </r>
  <r>
    <n v="50"/>
    <x v="49"/>
    <s v="Yui Nakamura"/>
    <x v="1"/>
    <x v="0"/>
    <n v="61"/>
    <n v="500"/>
    <n v="30500"/>
  </r>
  <r>
    <n v="51"/>
    <x v="50"/>
    <s v="Emily Johnson"/>
    <x v="2"/>
    <x v="1"/>
    <n v="56"/>
    <n v="500"/>
    <n v="28000"/>
  </r>
  <r>
    <n v="52"/>
    <x v="51"/>
    <s v="Olivia Brown"/>
    <x v="3"/>
    <x v="2"/>
    <n v="44"/>
    <n v="300"/>
    <n v="13200"/>
  </r>
  <r>
    <n v="53"/>
    <x v="52"/>
    <s v="Ramesh Kumar"/>
    <x v="0"/>
    <x v="3"/>
    <n v="69"/>
    <n v="50"/>
    <n v="3450"/>
  </r>
  <r>
    <n v="54"/>
    <x v="53"/>
    <s v="Maria Angelica"/>
    <x v="1"/>
    <x v="4"/>
    <n v="15"/>
    <n v="300"/>
    <n v="4500"/>
  </r>
  <r>
    <n v="55"/>
    <x v="54"/>
    <s v="Mohammad Ali"/>
    <x v="2"/>
    <x v="5"/>
    <n v="28"/>
    <n v="140"/>
    <n v="3920"/>
  </r>
  <r>
    <n v="56"/>
    <x v="55"/>
    <s v="Fatima Al Mak"/>
    <x v="3"/>
    <x v="6"/>
    <n v="46"/>
    <n v="300"/>
    <n v="13800"/>
  </r>
  <r>
    <n v="57"/>
    <x v="56"/>
    <s v="Ethan Lee"/>
    <x v="0"/>
    <x v="0"/>
    <n v="55"/>
    <n v="50"/>
    <n v="2750"/>
  </r>
  <r>
    <n v="58"/>
    <x v="57"/>
    <s v="Ava Jenkins"/>
    <x v="1"/>
    <x v="1"/>
    <n v="12"/>
    <n v="500"/>
    <n v="6000"/>
  </r>
  <r>
    <n v="59"/>
    <x v="58"/>
    <s v="Lukas Müller"/>
    <x v="2"/>
    <x v="2"/>
    <n v="59"/>
    <n v="120"/>
    <n v="7080"/>
  </r>
  <r>
    <n v="60"/>
    <x v="59"/>
    <s v="Yui Nakamura"/>
    <x v="3"/>
    <x v="3"/>
    <n v="15"/>
    <n v="230"/>
    <n v="3450"/>
  </r>
  <r>
    <n v="61"/>
    <x v="60"/>
    <s v="Emily Johnson"/>
    <x v="0"/>
    <x v="4"/>
    <n v="65"/>
    <n v="152"/>
    <n v="9880"/>
  </r>
  <r>
    <n v="62"/>
    <x v="61"/>
    <s v="Olivia Brown"/>
    <x v="1"/>
    <x v="5"/>
    <n v="34"/>
    <n v="600"/>
    <n v="20400"/>
  </r>
  <r>
    <n v="63"/>
    <x v="62"/>
    <s v="Ramesh Kumar"/>
    <x v="2"/>
    <x v="6"/>
    <n v="39"/>
    <n v="300"/>
    <n v="11700"/>
  </r>
  <r>
    <n v="64"/>
    <x v="63"/>
    <s v="Maria Angelica"/>
    <x v="3"/>
    <x v="0"/>
    <n v="63"/>
    <n v="630"/>
    <n v="39690"/>
  </r>
  <r>
    <n v="65"/>
    <x v="64"/>
    <s v="Mohammad Ali"/>
    <x v="0"/>
    <x v="1"/>
    <n v="20"/>
    <n v="220"/>
    <n v="4400"/>
  </r>
  <r>
    <n v="66"/>
    <x v="65"/>
    <s v="Fatima Al Mak"/>
    <x v="1"/>
    <x v="2"/>
    <n v="32"/>
    <n v="300"/>
    <n v="9600"/>
  </r>
  <r>
    <n v="67"/>
    <x v="66"/>
    <s v="Ethan Lee"/>
    <x v="2"/>
    <x v="3"/>
    <n v="52"/>
    <n v="50"/>
    <n v="2600"/>
  </r>
  <r>
    <n v="68"/>
    <x v="67"/>
    <s v="Ava Jenkins"/>
    <x v="3"/>
    <x v="4"/>
    <n v="54"/>
    <n v="200"/>
    <n v="10800"/>
  </r>
  <r>
    <n v="69"/>
    <x v="68"/>
    <s v="Lukas Müller"/>
    <x v="0"/>
    <x v="5"/>
    <n v="51"/>
    <n v="140"/>
    <n v="7140"/>
  </r>
  <r>
    <n v="70"/>
    <x v="69"/>
    <s v="Yui Nakamura"/>
    <x v="1"/>
    <x v="6"/>
    <n v="48"/>
    <n v="500"/>
    <n v="24000"/>
  </r>
  <r>
    <n v="71"/>
    <x v="70"/>
    <s v="Emily Johnson"/>
    <x v="2"/>
    <x v="0"/>
    <n v="20"/>
    <n v="630"/>
    <n v="12600"/>
  </r>
  <r>
    <n v="72"/>
    <x v="71"/>
    <s v="Olivia Brown"/>
    <x v="3"/>
    <x v="1"/>
    <n v="56"/>
    <n v="6000"/>
    <n v="336000"/>
  </r>
  <r>
    <n v="73"/>
    <x v="72"/>
    <s v="Ramesh Kumar"/>
    <x v="0"/>
    <x v="2"/>
    <n v="20"/>
    <n v="120"/>
    <n v="2400"/>
  </r>
  <r>
    <n v="74"/>
    <x v="73"/>
    <s v="Maria Angelica"/>
    <x v="1"/>
    <x v="3"/>
    <n v="34"/>
    <n v="230"/>
    <n v="7820"/>
  </r>
  <r>
    <n v="75"/>
    <x v="74"/>
    <s v="Mohammad Ali"/>
    <x v="2"/>
    <x v="4"/>
    <n v="69"/>
    <n v="200"/>
    <n v="13800"/>
  </r>
  <r>
    <n v="76"/>
    <x v="75"/>
    <s v="Fatima Al Mak"/>
    <x v="3"/>
    <x v="5"/>
    <n v="54"/>
    <n v="140"/>
    <n v="7560"/>
  </r>
  <r>
    <n v="77"/>
    <x v="76"/>
    <s v="Ethan Lee"/>
    <x v="0"/>
    <x v="6"/>
    <n v="53"/>
    <n v="500"/>
    <n v="26500"/>
  </r>
  <r>
    <n v="78"/>
    <x v="77"/>
    <s v="Ava Jenkins"/>
    <x v="1"/>
    <x v="0"/>
    <n v="63"/>
    <n v="500"/>
    <n v="31500"/>
  </r>
  <r>
    <n v="79"/>
    <x v="78"/>
    <s v="Lukas Müller"/>
    <x v="2"/>
    <x v="1"/>
    <n v="24"/>
    <n v="500"/>
    <n v="12000"/>
  </r>
  <r>
    <n v="80"/>
    <x v="79"/>
    <s v="Yui Nakamura"/>
    <x v="3"/>
    <x v="2"/>
    <n v="61"/>
    <n v="120"/>
    <n v="7320"/>
  </r>
  <r>
    <n v="81"/>
    <x v="80"/>
    <s v="Emily Johnson"/>
    <x v="0"/>
    <x v="3"/>
    <n v="35"/>
    <n v="230"/>
    <n v="8050"/>
  </r>
  <r>
    <s v="Total"/>
    <x v="81"/>
    <m/>
    <x v="4"/>
    <x v="7"/>
    <n v="3105"/>
    <m/>
    <n v="32133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E880D-681E-4BEA-9C12-FE48530F0223}" name="PivotTable10"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R22:R23" firstHeaderRow="1" firstDataRow="1" firstDataCol="0"/>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items count="6">
        <item x="2"/>
        <item x="0"/>
        <item x="1"/>
        <item x="3"/>
        <item x="4"/>
        <item t="default"/>
      </items>
    </pivotField>
    <pivotField showAll="0">
      <items count="9">
        <item x="2"/>
        <item x="5"/>
        <item x="1"/>
        <item x="4"/>
        <item x="0"/>
        <item x="3"/>
        <item x="6"/>
        <item x="7"/>
        <item t="default"/>
      </items>
    </pivotField>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36FFE-D562-4243-821D-5778B85E56EE}" name="PivotTable9"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R19:R20" firstHeaderRow="1" firstDataRow="1" firstDataCol="0"/>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items count="6">
        <item x="2"/>
        <item x="0"/>
        <item x="1"/>
        <item x="3"/>
        <item x="4"/>
        <item t="default"/>
      </items>
    </pivotField>
    <pivotField showAll="0">
      <items count="9">
        <item x="2"/>
        <item x="5"/>
        <item x="1"/>
        <item x="4"/>
        <item x="0"/>
        <item x="3"/>
        <item x="6"/>
        <item x="7"/>
        <item t="default"/>
      </items>
    </pivotField>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F24ADF-4B9C-4EAB-93E4-2484C89457AD}" name="PivotTable8"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S12:T18" firstHeaderRow="1" firstDataRow="1" firstDataCol="1"/>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items count="6">
        <item x="2"/>
        <item x="0"/>
        <item x="1"/>
        <item x="3"/>
        <item x="4"/>
        <item t="default"/>
      </items>
    </pivotField>
    <pivotField axis="axisRow" showAll="0">
      <items count="9">
        <item x="2"/>
        <item x="5"/>
        <item x="1"/>
        <item x="4"/>
        <item x="0"/>
        <item x="3"/>
        <item x="6"/>
        <item x="7"/>
        <item t="default"/>
      </items>
    </pivotField>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s>
  <rowFields count="1">
    <field x="4"/>
  </rowFields>
  <rowItems count="6">
    <i>
      <x/>
    </i>
    <i>
      <x v="2"/>
    </i>
    <i>
      <x v="4"/>
    </i>
    <i>
      <x v="5"/>
    </i>
    <i>
      <x v="6"/>
    </i>
    <i t="grand">
      <x/>
    </i>
  </rowItems>
  <colItems count="1">
    <i/>
  </colItems>
  <dataFields count="1">
    <dataField name="Sum of Amount" fld="7" baseField="0" baseItem="0"/>
  </dataFields>
  <chartFormats count="6">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31501-09AD-4C68-A359-E6C4C5498B9A}" name="PivotTable7"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P5:Q7" firstHeaderRow="1" firstDataRow="1" firstDataCol="1"/>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items count="6">
        <item x="2"/>
        <item x="0"/>
        <item x="1"/>
        <item x="3"/>
        <item x="4"/>
        <item t="default"/>
      </items>
    </pivotField>
    <pivotField showAll="0">
      <items count="9">
        <item x="2"/>
        <item x="5"/>
        <item x="1"/>
        <item x="4"/>
        <item x="0"/>
        <item x="3"/>
        <item x="6"/>
        <item x="7"/>
        <item t="default"/>
      </items>
    </pivotField>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8"/>
  </rowFields>
  <rowItems count="2">
    <i>
      <x v="12"/>
    </i>
    <i t="grand">
      <x/>
    </i>
  </rowItems>
  <colItems count="1">
    <i/>
  </colItems>
  <dataFields count="1">
    <dataField name="Sum of Amount" fld="7" baseField="0" baseItem="0"/>
  </dataFields>
  <chartFormats count="4">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E44474-3A27-4D49-8FAF-C4642A0B64C9}" name="PivotTable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M3:N5" firstHeaderRow="1" firstDataRow="1" firstDataCol="1"/>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axis="axisRow" showAll="0">
      <items count="6">
        <item x="2"/>
        <item h="1" x="0"/>
        <item h="1" x="1"/>
        <item h="1" x="3"/>
        <item h="1" x="4"/>
        <item t="default"/>
      </items>
    </pivotField>
    <pivotField showAll="0">
      <items count="9">
        <item x="2"/>
        <item x="5"/>
        <item x="1"/>
        <item x="4"/>
        <item x="0"/>
        <item x="3"/>
        <item x="6"/>
        <item x="7"/>
        <item t="default"/>
      </items>
    </pivotField>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s>
  <rowFields count="1">
    <field x="3"/>
  </rowFields>
  <rowItems count="2">
    <i>
      <x/>
    </i>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3809C-295B-4DA0-91F5-C1063AA9A4C4}" name="PivotTable5"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K9" firstHeaderRow="1" firstDataRow="1" firstDataCol="1"/>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items count="9">
        <item x="2"/>
        <item x="5"/>
        <item x="1"/>
        <item x="4"/>
        <item x="0"/>
        <item x="3"/>
        <item x="6"/>
        <item x="7"/>
        <item t="default"/>
      </items>
    </pivotField>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s>
  <rowFields count="1">
    <field x="4"/>
  </rowFields>
  <rowItems count="6">
    <i>
      <x/>
    </i>
    <i>
      <x v="2"/>
    </i>
    <i>
      <x v="4"/>
    </i>
    <i>
      <x v="5"/>
    </i>
    <i>
      <x v="6"/>
    </i>
    <i t="grand">
      <x/>
    </i>
  </rowItems>
  <colItems count="1">
    <i/>
  </colItem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752084-A571-48C8-8631-DD50AE44917A}" name="PivotTable4"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8" firstHeaderRow="1" firstDataRow="1" firstDataCol="1"/>
  <pivotFields count="9">
    <pivotField showAll="0"/>
    <pivotField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axis="axisRow" showAll="0">
      <items count="6">
        <item x="2"/>
        <item x="0"/>
        <item x="1"/>
        <item x="3"/>
        <item x="4"/>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pivotTableStyleInfo name="PivotStyleMedium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E4C1E-2340-4A96-A58B-7EE5B344F499}"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5" firstHeaderRow="1" firstDataRow="1" firstDataCol="1"/>
  <pivotFields count="9">
    <pivotField showAll="0"/>
    <pivotField axis="axisRow"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2">
    <field x="8"/>
    <field x="1"/>
  </rowFields>
  <rowItems count="2">
    <i>
      <x v="12"/>
    </i>
    <i t="grand">
      <x/>
    </i>
  </rowItems>
  <colItems count="1">
    <i/>
  </colItems>
  <pivotTableStyleInfo name="PivotStyleDark16" showRowHeaders="1" showColHeaders="1" showRowStripes="0" showColStripes="0" showLastColumn="1"/>
  <filters count="1">
    <filter fld="1" type="dateBetween" evalOrder="-1" id="614" nam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DC2B6B-6C57-46A3-A976-576214271406}" sourceName="Region">
  <pivotTables>
    <pivotTable tabId="2" name="PivotTable4"/>
  </pivotTables>
  <data>
    <tabular pivotCacheId="1993759595" crossFilter="none">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0EA3C5C-DE30-4DFA-88AE-ADF0B00B11DB}" sourceName="Item">
  <pivotTables>
    <pivotTable tabId="2" name="PivotTable5"/>
    <pivotTable tabId="2" name="PivotTable6"/>
    <pivotTable tabId="2" name="PivotTable7"/>
    <pivotTable tabId="2" name="PivotTable8"/>
    <pivotTable tabId="2" name="PivotTable9"/>
    <pivotTable tabId="2" name="PivotTable10"/>
  </pivotTables>
  <data>
    <tabular pivotCacheId="1993759595">
      <items count="8">
        <i x="2" s="1"/>
        <i x="1" s="1"/>
        <i x="0" s="1"/>
        <i x="3" s="1"/>
        <i x="6" s="1"/>
        <i x="5" s="1" nd="1"/>
        <i x="4"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8D10056-F895-4A4D-84BC-26C27E70D48A}" cache="Slicer_Region" caption="Region" columnCount="2" style="SlicerStyleDark5" rowHeight="274320"/>
  <slicer name="Item" xr10:uid="{BD52E02B-BF23-4E28-A42B-86C352401336}"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F183590-896A-4FC7-BA36-B1B62DBB4647}" cache="Slicer_Region" caption="Region" columnCount="2" style="SlicerStyleDark5" rowHeight="365760"/>
  <slicer name="Item 1" xr10:uid="{7BB7E6C5-CD43-4E3A-9AAC-B2863AF1F199}" cache="Slicer_Item" caption="Item" columnCount="8"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C1E0660-6F36-4F8B-A35D-26BA16F7C4A4}" sourceName="Date">
  <pivotTables>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state minimalRefreshVersion="6" lastRefreshVersion="6" pivotCacheId="1993759595" filterType="dateBetween">
    <selection startDate="2025-12-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B24B42D-323C-41A6-9019-252BBCF2DE20}" cache="NativeTimeline_Date" caption="Date" showHorizontalScrollbar="0" level="2" selectionLevel="2"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C66D1A9-C887-4D0A-B47C-2468A60FD915}" cache="NativeTimeline_Date" caption="Date" showHorizontalScrollbar="0" level="2" selectionLevel="2" scrollPosition="2025-01-20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182C-480B-4DE7-9F17-39C061C70708}">
  <dimension ref="A3:T23"/>
  <sheetViews>
    <sheetView topLeftCell="I7" workbookViewId="0">
      <selection activeCell="S23" sqref="S23"/>
    </sheetView>
  </sheetViews>
  <sheetFormatPr defaultRowHeight="14.5" x14ac:dyDescent="0.35"/>
  <cols>
    <col min="1" max="1" width="12.36328125" bestFit="1" customWidth="1"/>
    <col min="3" max="3" width="12.36328125" bestFit="1" customWidth="1"/>
    <col min="11" max="11" width="12.36328125" bestFit="1" customWidth="1"/>
    <col min="13" max="13" width="12.36328125" bestFit="1" customWidth="1"/>
    <col min="14" max="14" width="14" bestFit="1" customWidth="1"/>
    <col min="16" max="16" width="12.36328125" bestFit="1" customWidth="1"/>
    <col min="17" max="17" width="14" bestFit="1" customWidth="1"/>
    <col min="18" max="18" width="15.453125" bestFit="1" customWidth="1"/>
    <col min="19" max="19" width="12.36328125" bestFit="1" customWidth="1"/>
    <col min="20" max="20" width="14" bestFit="1" customWidth="1"/>
  </cols>
  <sheetData>
    <row r="3" spans="1:20" x14ac:dyDescent="0.35">
      <c r="A3" s="10" t="s">
        <v>29</v>
      </c>
      <c r="C3" s="10" t="s">
        <v>29</v>
      </c>
      <c r="K3" s="10" t="s">
        <v>29</v>
      </c>
      <c r="M3" s="10" t="s">
        <v>29</v>
      </c>
      <c r="N3" t="s">
        <v>32</v>
      </c>
    </row>
    <row r="4" spans="1:20" x14ac:dyDescent="0.35">
      <c r="A4" s="11" t="s">
        <v>31</v>
      </c>
      <c r="C4" s="11" t="s">
        <v>15</v>
      </c>
      <c r="K4" s="11" t="s">
        <v>16</v>
      </c>
      <c r="M4" s="11" t="s">
        <v>15</v>
      </c>
      <c r="N4" s="15">
        <v>12000</v>
      </c>
    </row>
    <row r="5" spans="1:20" x14ac:dyDescent="0.35">
      <c r="A5" s="11" t="s">
        <v>30</v>
      </c>
      <c r="C5" s="11" t="s">
        <v>9</v>
      </c>
      <c r="K5" s="11" t="s">
        <v>13</v>
      </c>
      <c r="M5" s="11" t="s">
        <v>30</v>
      </c>
      <c r="N5" s="15">
        <v>12000</v>
      </c>
      <c r="P5" s="10" t="s">
        <v>29</v>
      </c>
      <c r="Q5" t="s">
        <v>32</v>
      </c>
    </row>
    <row r="6" spans="1:20" x14ac:dyDescent="0.35">
      <c r="C6" s="11" t="s">
        <v>12</v>
      </c>
      <c r="K6" s="11" t="s">
        <v>10</v>
      </c>
      <c r="P6" s="11" t="s">
        <v>31</v>
      </c>
      <c r="Q6" s="15">
        <v>85370</v>
      </c>
    </row>
    <row r="7" spans="1:20" x14ac:dyDescent="0.35">
      <c r="C7" s="11" t="s">
        <v>18</v>
      </c>
      <c r="K7" s="11" t="s">
        <v>19</v>
      </c>
      <c r="P7" s="11" t="s">
        <v>30</v>
      </c>
      <c r="Q7" s="15">
        <v>85370</v>
      </c>
    </row>
    <row r="8" spans="1:20" x14ac:dyDescent="0.35">
      <c r="C8" s="11" t="s">
        <v>30</v>
      </c>
      <c r="K8" s="11" t="s">
        <v>26</v>
      </c>
    </row>
    <row r="9" spans="1:20" x14ac:dyDescent="0.35">
      <c r="K9" s="11" t="s">
        <v>30</v>
      </c>
    </row>
    <row r="12" spans="1:20" x14ac:dyDescent="0.35">
      <c r="S12" s="10" t="s">
        <v>29</v>
      </c>
      <c r="T12" t="s">
        <v>32</v>
      </c>
    </row>
    <row r="13" spans="1:20" x14ac:dyDescent="0.35">
      <c r="S13" s="11" t="s">
        <v>16</v>
      </c>
      <c r="T13" s="15">
        <v>7320</v>
      </c>
    </row>
    <row r="14" spans="1:20" x14ac:dyDescent="0.35">
      <c r="S14" s="11" t="s">
        <v>13</v>
      </c>
      <c r="T14" s="15">
        <v>12000</v>
      </c>
    </row>
    <row r="15" spans="1:20" x14ac:dyDescent="0.35">
      <c r="S15" s="11" t="s">
        <v>10</v>
      </c>
      <c r="T15" s="15">
        <v>31500</v>
      </c>
    </row>
    <row r="16" spans="1:20" x14ac:dyDescent="0.35">
      <c r="S16" s="11" t="s">
        <v>19</v>
      </c>
      <c r="T16" s="15">
        <v>8050</v>
      </c>
    </row>
    <row r="17" spans="18:20" x14ac:dyDescent="0.35">
      <c r="S17" s="11" t="s">
        <v>26</v>
      </c>
      <c r="T17" s="15">
        <v>26500</v>
      </c>
    </row>
    <row r="18" spans="18:20" x14ac:dyDescent="0.35">
      <c r="S18" s="11" t="s">
        <v>30</v>
      </c>
      <c r="T18" s="15">
        <v>85370</v>
      </c>
    </row>
    <row r="19" spans="18:20" x14ac:dyDescent="0.35">
      <c r="R19" t="s">
        <v>32</v>
      </c>
    </row>
    <row r="20" spans="18:20" x14ac:dyDescent="0.35">
      <c r="R20" s="15">
        <v>85370</v>
      </c>
      <c r="S20" s="16">
        <f>SUM(GETPIVOTDATA("Amount",$R$19))</f>
        <v>85370</v>
      </c>
    </row>
    <row r="22" spans="18:20" x14ac:dyDescent="0.35">
      <c r="R22" t="s">
        <v>33</v>
      </c>
    </row>
    <row r="23" spans="18:20" x14ac:dyDescent="0.35">
      <c r="R23" s="15">
        <v>5</v>
      </c>
      <c r="S23">
        <f>SUM(GETPIVOTDATA("Amount",$R$22))</f>
        <v>5</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
  <sheetViews>
    <sheetView workbookViewId="0">
      <pane ySplit="1" topLeftCell="A74" activePane="bottomLeft" state="frozen"/>
      <selection pane="bottomLeft" activeCell="C83" sqref="C83"/>
    </sheetView>
  </sheetViews>
  <sheetFormatPr defaultRowHeight="14.5" x14ac:dyDescent="0.35"/>
  <cols>
    <col min="1" max="1" width="8" customWidth="1"/>
    <col min="2" max="2" width="14" customWidth="1"/>
    <col min="3" max="3" width="18" customWidth="1"/>
    <col min="4" max="4" width="10" customWidth="1"/>
    <col min="5" max="5" width="14" customWidth="1"/>
    <col min="6" max="6" width="8" customWidth="1"/>
    <col min="7" max="7" width="10" customWidth="1"/>
    <col min="8" max="8" width="14" customWidth="1"/>
  </cols>
  <sheetData>
    <row r="1" spans="1:8" ht="30" customHeight="1" x14ac:dyDescent="0.35">
      <c r="A1" s="1" t="s">
        <v>0</v>
      </c>
      <c r="B1" s="1" t="s">
        <v>1</v>
      </c>
      <c r="C1" s="1" t="s">
        <v>2</v>
      </c>
      <c r="D1" s="1" t="s">
        <v>3</v>
      </c>
      <c r="E1" s="1" t="s">
        <v>4</v>
      </c>
      <c r="F1" s="1" t="s">
        <v>5</v>
      </c>
      <c r="G1" s="1" t="s">
        <v>6</v>
      </c>
      <c r="H1" s="1" t="s">
        <v>7</v>
      </c>
    </row>
    <row r="2" spans="1:8" x14ac:dyDescent="0.35">
      <c r="A2" s="2">
        <v>1</v>
      </c>
      <c r="B2" s="3">
        <v>45916</v>
      </c>
      <c r="C2" s="4" t="s">
        <v>8</v>
      </c>
      <c r="D2" s="2" t="s">
        <v>9</v>
      </c>
      <c r="E2" s="4" t="s">
        <v>10</v>
      </c>
      <c r="F2" s="2">
        <v>21</v>
      </c>
      <c r="G2" s="5">
        <v>50</v>
      </c>
      <c r="H2" s="5">
        <v>1050</v>
      </c>
    </row>
    <row r="3" spans="1:8" x14ac:dyDescent="0.35">
      <c r="A3" s="6">
        <v>2</v>
      </c>
      <c r="B3" s="7">
        <v>45917</v>
      </c>
      <c r="C3" s="8" t="s">
        <v>11</v>
      </c>
      <c r="D3" s="6" t="s">
        <v>12</v>
      </c>
      <c r="E3" s="8" t="s">
        <v>13</v>
      </c>
      <c r="F3" s="6">
        <v>36</v>
      </c>
      <c r="G3" s="9">
        <v>500</v>
      </c>
      <c r="H3" s="9">
        <v>18000</v>
      </c>
    </row>
    <row r="4" spans="1:8" x14ac:dyDescent="0.35">
      <c r="A4" s="2">
        <v>3</v>
      </c>
      <c r="B4" s="3">
        <v>45918</v>
      </c>
      <c r="C4" s="4" t="s">
        <v>14</v>
      </c>
      <c r="D4" s="2" t="s">
        <v>15</v>
      </c>
      <c r="E4" s="4" t="s">
        <v>16</v>
      </c>
      <c r="F4" s="2">
        <v>32</v>
      </c>
      <c r="G4" s="5">
        <v>120</v>
      </c>
      <c r="H4" s="5">
        <v>3840</v>
      </c>
    </row>
    <row r="5" spans="1:8" x14ac:dyDescent="0.35">
      <c r="A5" s="6">
        <v>4</v>
      </c>
      <c r="B5" s="7">
        <v>45919</v>
      </c>
      <c r="C5" s="8" t="s">
        <v>17</v>
      </c>
      <c r="D5" s="6" t="s">
        <v>18</v>
      </c>
      <c r="E5" s="8" t="s">
        <v>19</v>
      </c>
      <c r="F5" s="6">
        <v>21</v>
      </c>
      <c r="G5" s="9">
        <v>50</v>
      </c>
      <c r="H5" s="9">
        <v>1050</v>
      </c>
    </row>
    <row r="6" spans="1:8" x14ac:dyDescent="0.35">
      <c r="A6" s="2">
        <v>5</v>
      </c>
      <c r="B6" s="3">
        <v>45920</v>
      </c>
      <c r="C6" s="4" t="s">
        <v>20</v>
      </c>
      <c r="D6" s="2" t="s">
        <v>9</v>
      </c>
      <c r="E6" s="4" t="s">
        <v>21</v>
      </c>
      <c r="F6" s="2">
        <v>23</v>
      </c>
      <c r="G6" s="5">
        <v>8000</v>
      </c>
      <c r="H6" s="5">
        <v>184000</v>
      </c>
    </row>
    <row r="7" spans="1:8" x14ac:dyDescent="0.35">
      <c r="A7" s="6">
        <v>6</v>
      </c>
      <c r="B7" s="7">
        <v>45921</v>
      </c>
      <c r="C7" s="8" t="s">
        <v>22</v>
      </c>
      <c r="D7" s="6" t="s">
        <v>12</v>
      </c>
      <c r="E7" s="8" t="s">
        <v>23</v>
      </c>
      <c r="F7" s="6">
        <v>10</v>
      </c>
      <c r="G7" s="9">
        <v>600</v>
      </c>
      <c r="H7" s="9">
        <v>6000</v>
      </c>
    </row>
    <row r="8" spans="1:8" x14ac:dyDescent="0.35">
      <c r="A8" s="2">
        <v>7</v>
      </c>
      <c r="B8" s="3">
        <v>45922</v>
      </c>
      <c r="C8" s="4" t="s">
        <v>24</v>
      </c>
      <c r="D8" s="2" t="s">
        <v>18</v>
      </c>
      <c r="E8" s="4" t="s">
        <v>21</v>
      </c>
      <c r="F8" s="2">
        <v>25</v>
      </c>
      <c r="G8" s="5">
        <v>152</v>
      </c>
      <c r="H8" s="5">
        <v>3800</v>
      </c>
    </row>
    <row r="9" spans="1:8" x14ac:dyDescent="0.35">
      <c r="A9" s="6">
        <v>8</v>
      </c>
      <c r="B9" s="7">
        <v>45923</v>
      </c>
      <c r="C9" s="8" t="s">
        <v>25</v>
      </c>
      <c r="D9" s="6" t="s">
        <v>15</v>
      </c>
      <c r="E9" s="8" t="s">
        <v>26</v>
      </c>
      <c r="F9" s="6">
        <v>63</v>
      </c>
      <c r="G9" s="9">
        <v>500</v>
      </c>
      <c r="H9" s="9">
        <v>31500</v>
      </c>
    </row>
    <row r="10" spans="1:8" x14ac:dyDescent="0.35">
      <c r="A10" s="2">
        <v>9</v>
      </c>
      <c r="B10" s="3">
        <v>45924</v>
      </c>
      <c r="C10" s="4" t="s">
        <v>27</v>
      </c>
      <c r="D10" s="2" t="s">
        <v>9</v>
      </c>
      <c r="E10" s="4" t="s">
        <v>10</v>
      </c>
      <c r="F10" s="2">
        <v>45</v>
      </c>
      <c r="G10" s="5">
        <v>500</v>
      </c>
      <c r="H10" s="5">
        <v>22500</v>
      </c>
    </row>
    <row r="11" spans="1:8" x14ac:dyDescent="0.35">
      <c r="A11" s="6">
        <v>10</v>
      </c>
      <c r="B11" s="7">
        <v>45925</v>
      </c>
      <c r="C11" s="8" t="s">
        <v>28</v>
      </c>
      <c r="D11" s="6" t="s">
        <v>9</v>
      </c>
      <c r="E11" s="8" t="s">
        <v>13</v>
      </c>
      <c r="F11" s="6">
        <v>56</v>
      </c>
      <c r="G11" s="9">
        <v>6000</v>
      </c>
      <c r="H11" s="9">
        <v>336000</v>
      </c>
    </row>
    <row r="12" spans="1:8" x14ac:dyDescent="0.35">
      <c r="A12" s="2">
        <v>11</v>
      </c>
      <c r="B12" s="3">
        <v>45926</v>
      </c>
      <c r="C12" s="4" t="s">
        <v>17</v>
      </c>
      <c r="D12" s="2" t="s">
        <v>12</v>
      </c>
      <c r="E12" s="4" t="s">
        <v>16</v>
      </c>
      <c r="F12" s="2">
        <v>21</v>
      </c>
      <c r="G12" s="5">
        <v>120</v>
      </c>
      <c r="H12" s="5">
        <v>2520</v>
      </c>
    </row>
    <row r="13" spans="1:8" x14ac:dyDescent="0.35">
      <c r="A13" s="6">
        <v>12</v>
      </c>
      <c r="B13" s="7">
        <v>45927</v>
      </c>
      <c r="C13" s="8" t="s">
        <v>20</v>
      </c>
      <c r="D13" s="6" t="s">
        <v>12</v>
      </c>
      <c r="E13" s="8" t="s">
        <v>19</v>
      </c>
      <c r="F13" s="6">
        <v>36</v>
      </c>
      <c r="G13" s="9">
        <v>230</v>
      </c>
      <c r="H13" s="9">
        <v>8280</v>
      </c>
    </row>
    <row r="14" spans="1:8" x14ac:dyDescent="0.35">
      <c r="A14" s="2">
        <v>13</v>
      </c>
      <c r="B14" s="3">
        <v>45928</v>
      </c>
      <c r="C14" s="4" t="s">
        <v>22</v>
      </c>
      <c r="D14" s="2" t="s">
        <v>15</v>
      </c>
      <c r="E14" s="4" t="s">
        <v>21</v>
      </c>
      <c r="F14" s="2">
        <v>32</v>
      </c>
      <c r="G14" s="5">
        <v>600</v>
      </c>
      <c r="H14" s="5">
        <v>19200</v>
      </c>
    </row>
    <row r="15" spans="1:8" x14ac:dyDescent="0.35">
      <c r="A15" s="6">
        <v>14</v>
      </c>
      <c r="B15" s="7">
        <v>45929</v>
      </c>
      <c r="C15" s="8" t="s">
        <v>24</v>
      </c>
      <c r="D15" s="6" t="s">
        <v>15</v>
      </c>
      <c r="E15" s="8" t="s">
        <v>23</v>
      </c>
      <c r="F15" s="6">
        <v>21</v>
      </c>
      <c r="G15" s="9">
        <v>100</v>
      </c>
      <c r="H15" s="9">
        <v>2100</v>
      </c>
    </row>
    <row r="16" spans="1:8" x14ac:dyDescent="0.35">
      <c r="A16" s="2">
        <v>15</v>
      </c>
      <c r="B16" s="3">
        <v>45930</v>
      </c>
      <c r="C16" s="4" t="s">
        <v>25</v>
      </c>
      <c r="D16" s="2" t="s">
        <v>18</v>
      </c>
      <c r="E16" s="4" t="s">
        <v>21</v>
      </c>
      <c r="F16" s="2">
        <v>23</v>
      </c>
      <c r="G16" s="5">
        <v>200</v>
      </c>
      <c r="H16" s="5">
        <v>4600</v>
      </c>
    </row>
    <row r="17" spans="1:8" x14ac:dyDescent="0.35">
      <c r="A17" s="6">
        <v>16</v>
      </c>
      <c r="B17" s="7">
        <v>45931</v>
      </c>
      <c r="C17" s="8" t="s">
        <v>27</v>
      </c>
      <c r="D17" s="6" t="s">
        <v>15</v>
      </c>
      <c r="E17" s="8" t="s">
        <v>26</v>
      </c>
      <c r="F17" s="6">
        <v>10</v>
      </c>
      <c r="G17" s="9">
        <v>300</v>
      </c>
      <c r="H17" s="9">
        <v>3000</v>
      </c>
    </row>
    <row r="18" spans="1:8" x14ac:dyDescent="0.35">
      <c r="A18" s="2">
        <v>17</v>
      </c>
      <c r="B18" s="3">
        <v>45932</v>
      </c>
      <c r="C18" s="4" t="s">
        <v>28</v>
      </c>
      <c r="D18" s="2" t="s">
        <v>18</v>
      </c>
      <c r="E18" s="4" t="s">
        <v>19</v>
      </c>
      <c r="F18" s="2">
        <v>25</v>
      </c>
      <c r="G18" s="5">
        <v>200</v>
      </c>
      <c r="H18" s="5">
        <v>5000</v>
      </c>
    </row>
    <row r="19" spans="1:8" x14ac:dyDescent="0.35">
      <c r="A19" s="6">
        <v>18</v>
      </c>
      <c r="B19" s="7">
        <v>45933</v>
      </c>
      <c r="C19" s="8" t="s">
        <v>17</v>
      </c>
      <c r="D19" s="6" t="s">
        <v>9</v>
      </c>
      <c r="E19" s="8" t="s">
        <v>21</v>
      </c>
      <c r="F19" s="6">
        <v>63</v>
      </c>
      <c r="G19" s="9">
        <v>300</v>
      </c>
      <c r="H19" s="9">
        <v>18900</v>
      </c>
    </row>
    <row r="20" spans="1:8" x14ac:dyDescent="0.35">
      <c r="A20" s="2">
        <v>19</v>
      </c>
      <c r="B20" s="3">
        <v>45934</v>
      </c>
      <c r="C20" s="4" t="s">
        <v>20</v>
      </c>
      <c r="D20" s="2" t="s">
        <v>12</v>
      </c>
      <c r="E20" s="4" t="s">
        <v>23</v>
      </c>
      <c r="F20" s="2">
        <v>45</v>
      </c>
      <c r="G20" s="5">
        <v>140</v>
      </c>
      <c r="H20" s="5">
        <v>6300</v>
      </c>
    </row>
    <row r="21" spans="1:8" x14ac:dyDescent="0.35">
      <c r="A21" s="6">
        <v>20</v>
      </c>
      <c r="B21" s="7">
        <v>45935</v>
      </c>
      <c r="C21" s="8" t="s">
        <v>22</v>
      </c>
      <c r="D21" s="6" t="s">
        <v>15</v>
      </c>
      <c r="E21" s="8" t="s">
        <v>21</v>
      </c>
      <c r="F21" s="6">
        <v>56</v>
      </c>
      <c r="G21" s="9">
        <v>500</v>
      </c>
      <c r="H21" s="9">
        <v>28000</v>
      </c>
    </row>
    <row r="22" spans="1:8" x14ac:dyDescent="0.35">
      <c r="A22" s="2">
        <v>21</v>
      </c>
      <c r="B22" s="3">
        <v>45936</v>
      </c>
      <c r="C22" s="4" t="s">
        <v>24</v>
      </c>
      <c r="D22" s="2" t="s">
        <v>18</v>
      </c>
      <c r="E22" s="4" t="s">
        <v>26</v>
      </c>
      <c r="F22" s="2">
        <v>21</v>
      </c>
      <c r="G22" s="5">
        <v>300</v>
      </c>
      <c r="H22" s="5">
        <v>6300</v>
      </c>
    </row>
    <row r="23" spans="1:8" x14ac:dyDescent="0.35">
      <c r="A23" s="6">
        <v>22</v>
      </c>
      <c r="B23" s="7">
        <v>45937</v>
      </c>
      <c r="C23" s="8" t="s">
        <v>25</v>
      </c>
      <c r="D23" s="6" t="s">
        <v>9</v>
      </c>
      <c r="E23" s="8" t="s">
        <v>10</v>
      </c>
      <c r="F23" s="6">
        <v>36</v>
      </c>
      <c r="G23" s="9">
        <v>630</v>
      </c>
      <c r="H23" s="9">
        <v>22680</v>
      </c>
    </row>
    <row r="24" spans="1:8" x14ac:dyDescent="0.35">
      <c r="A24" s="2">
        <v>23</v>
      </c>
      <c r="B24" s="3">
        <v>45938</v>
      </c>
      <c r="C24" s="4" t="s">
        <v>27</v>
      </c>
      <c r="D24" s="2" t="s">
        <v>12</v>
      </c>
      <c r="E24" s="4" t="s">
        <v>13</v>
      </c>
      <c r="F24" s="2">
        <v>32</v>
      </c>
      <c r="G24" s="5">
        <v>220</v>
      </c>
      <c r="H24" s="5">
        <v>7040</v>
      </c>
    </row>
    <row r="25" spans="1:8" x14ac:dyDescent="0.35">
      <c r="A25" s="6">
        <v>24</v>
      </c>
      <c r="B25" s="7">
        <v>45939</v>
      </c>
      <c r="C25" s="8" t="s">
        <v>28</v>
      </c>
      <c r="D25" s="6" t="s">
        <v>18</v>
      </c>
      <c r="E25" s="8" t="s">
        <v>16</v>
      </c>
      <c r="F25" s="6">
        <v>21</v>
      </c>
      <c r="G25" s="9">
        <v>300</v>
      </c>
      <c r="H25" s="9">
        <v>6300</v>
      </c>
    </row>
    <row r="26" spans="1:8" x14ac:dyDescent="0.35">
      <c r="A26" s="2">
        <v>25</v>
      </c>
      <c r="B26" s="3">
        <v>45940</v>
      </c>
      <c r="C26" s="4" t="s">
        <v>20</v>
      </c>
      <c r="D26" s="2" t="s">
        <v>9</v>
      </c>
      <c r="E26" s="4" t="s">
        <v>19</v>
      </c>
      <c r="F26" s="2">
        <v>17</v>
      </c>
      <c r="G26" s="5">
        <v>200</v>
      </c>
      <c r="H26" s="5">
        <v>3400</v>
      </c>
    </row>
    <row r="27" spans="1:8" x14ac:dyDescent="0.35">
      <c r="A27" s="6">
        <v>26</v>
      </c>
      <c r="B27" s="7">
        <v>45941</v>
      </c>
      <c r="C27" s="8" t="s">
        <v>22</v>
      </c>
      <c r="D27" s="6" t="s">
        <v>12</v>
      </c>
      <c r="E27" s="8" t="s">
        <v>21</v>
      </c>
      <c r="F27" s="6">
        <v>57</v>
      </c>
      <c r="G27" s="9">
        <v>8000</v>
      </c>
      <c r="H27" s="9">
        <v>456000</v>
      </c>
    </row>
    <row r="28" spans="1:8" x14ac:dyDescent="0.35">
      <c r="A28" s="2">
        <v>27</v>
      </c>
      <c r="B28" s="3">
        <v>45942</v>
      </c>
      <c r="C28" s="4" t="s">
        <v>24</v>
      </c>
      <c r="D28" s="2" t="s">
        <v>15</v>
      </c>
      <c r="E28" s="4" t="s">
        <v>23</v>
      </c>
      <c r="F28" s="2">
        <v>25</v>
      </c>
      <c r="G28" s="5">
        <v>100</v>
      </c>
      <c r="H28" s="5">
        <v>2500</v>
      </c>
    </row>
    <row r="29" spans="1:8" x14ac:dyDescent="0.35">
      <c r="A29" s="6">
        <v>28</v>
      </c>
      <c r="B29" s="7">
        <v>45943</v>
      </c>
      <c r="C29" s="8" t="s">
        <v>25</v>
      </c>
      <c r="D29" s="6" t="s">
        <v>18</v>
      </c>
      <c r="E29" s="8" t="s">
        <v>26</v>
      </c>
      <c r="F29" s="6">
        <v>18</v>
      </c>
      <c r="G29" s="9">
        <v>500</v>
      </c>
      <c r="H29" s="9">
        <v>9000</v>
      </c>
    </row>
    <row r="30" spans="1:8" x14ac:dyDescent="0.35">
      <c r="A30" s="2">
        <v>29</v>
      </c>
      <c r="B30" s="3">
        <v>45944</v>
      </c>
      <c r="C30" s="4" t="s">
        <v>27</v>
      </c>
      <c r="D30" s="2" t="s">
        <v>9</v>
      </c>
      <c r="E30" s="4" t="s">
        <v>10</v>
      </c>
      <c r="F30" s="2">
        <v>16</v>
      </c>
      <c r="G30" s="5">
        <v>630</v>
      </c>
      <c r="H30" s="5">
        <v>10080</v>
      </c>
    </row>
    <row r="31" spans="1:8" x14ac:dyDescent="0.35">
      <c r="A31" s="6">
        <v>30</v>
      </c>
      <c r="B31" s="7">
        <v>45945</v>
      </c>
      <c r="C31" s="8" t="s">
        <v>28</v>
      </c>
      <c r="D31" s="6" t="s">
        <v>12</v>
      </c>
      <c r="E31" s="8" t="s">
        <v>13</v>
      </c>
      <c r="F31" s="6">
        <v>57</v>
      </c>
      <c r="G31" s="9">
        <v>6000</v>
      </c>
      <c r="H31" s="9">
        <v>342000</v>
      </c>
    </row>
    <row r="32" spans="1:8" x14ac:dyDescent="0.35">
      <c r="A32" s="2">
        <v>31</v>
      </c>
      <c r="B32" s="3">
        <v>45946</v>
      </c>
      <c r="C32" s="4" t="s">
        <v>8</v>
      </c>
      <c r="D32" s="2" t="s">
        <v>15</v>
      </c>
      <c r="E32" s="4" t="s">
        <v>16</v>
      </c>
      <c r="F32" s="2">
        <v>47</v>
      </c>
      <c r="G32" s="5">
        <v>120</v>
      </c>
      <c r="H32" s="5">
        <v>5640</v>
      </c>
    </row>
    <row r="33" spans="1:8" x14ac:dyDescent="0.35">
      <c r="A33" s="6">
        <v>32</v>
      </c>
      <c r="B33" s="7">
        <v>45947</v>
      </c>
      <c r="C33" s="8" t="s">
        <v>11</v>
      </c>
      <c r="D33" s="6" t="s">
        <v>18</v>
      </c>
      <c r="E33" s="8" t="s">
        <v>19</v>
      </c>
      <c r="F33" s="6">
        <v>12</v>
      </c>
      <c r="G33" s="9">
        <v>230</v>
      </c>
      <c r="H33" s="9">
        <v>2760</v>
      </c>
    </row>
    <row r="34" spans="1:8" x14ac:dyDescent="0.35">
      <c r="A34" s="2">
        <v>33</v>
      </c>
      <c r="B34" s="3">
        <v>45948</v>
      </c>
      <c r="C34" s="4" t="s">
        <v>14</v>
      </c>
      <c r="D34" s="2" t="s">
        <v>9</v>
      </c>
      <c r="E34" s="4" t="s">
        <v>21</v>
      </c>
      <c r="F34" s="2">
        <v>15</v>
      </c>
      <c r="G34" s="5">
        <v>8000</v>
      </c>
      <c r="H34" s="5">
        <v>120000</v>
      </c>
    </row>
    <row r="35" spans="1:8" x14ac:dyDescent="0.35">
      <c r="A35" s="6">
        <v>34</v>
      </c>
      <c r="B35" s="7">
        <v>45949</v>
      </c>
      <c r="C35" s="8" t="s">
        <v>17</v>
      </c>
      <c r="D35" s="6" t="s">
        <v>12</v>
      </c>
      <c r="E35" s="8" t="s">
        <v>23</v>
      </c>
      <c r="F35" s="6">
        <v>24</v>
      </c>
      <c r="G35" s="9">
        <v>600</v>
      </c>
      <c r="H35" s="9">
        <v>14400</v>
      </c>
    </row>
    <row r="36" spans="1:8" x14ac:dyDescent="0.35">
      <c r="A36" s="2">
        <v>35</v>
      </c>
      <c r="B36" s="3">
        <v>45950</v>
      </c>
      <c r="C36" s="4" t="s">
        <v>20</v>
      </c>
      <c r="D36" s="2" t="s">
        <v>15</v>
      </c>
      <c r="E36" s="4" t="s">
        <v>26</v>
      </c>
      <c r="F36" s="2">
        <v>45</v>
      </c>
      <c r="G36" s="5">
        <v>500</v>
      </c>
      <c r="H36" s="5">
        <v>22500</v>
      </c>
    </row>
    <row r="37" spans="1:8" x14ac:dyDescent="0.35">
      <c r="A37" s="6">
        <v>36</v>
      </c>
      <c r="B37" s="7">
        <v>45951</v>
      </c>
      <c r="C37" s="8" t="s">
        <v>22</v>
      </c>
      <c r="D37" s="6" t="s">
        <v>18</v>
      </c>
      <c r="E37" s="8" t="s">
        <v>10</v>
      </c>
      <c r="F37" s="6">
        <v>55</v>
      </c>
      <c r="G37" s="9">
        <v>50</v>
      </c>
      <c r="H37" s="9">
        <v>2750</v>
      </c>
    </row>
    <row r="38" spans="1:8" x14ac:dyDescent="0.35">
      <c r="A38" s="2">
        <v>37</v>
      </c>
      <c r="B38" s="3">
        <v>45952</v>
      </c>
      <c r="C38" s="4" t="s">
        <v>24</v>
      </c>
      <c r="D38" s="2" t="s">
        <v>9</v>
      </c>
      <c r="E38" s="4" t="s">
        <v>13</v>
      </c>
      <c r="F38" s="2">
        <v>54</v>
      </c>
      <c r="G38" s="5">
        <v>6000</v>
      </c>
      <c r="H38" s="5">
        <v>324000</v>
      </c>
    </row>
    <row r="39" spans="1:8" x14ac:dyDescent="0.35">
      <c r="A39" s="6">
        <v>38</v>
      </c>
      <c r="B39" s="7">
        <v>45953</v>
      </c>
      <c r="C39" s="8" t="s">
        <v>25</v>
      </c>
      <c r="D39" s="6" t="s">
        <v>12</v>
      </c>
      <c r="E39" s="8" t="s">
        <v>16</v>
      </c>
      <c r="F39" s="6">
        <v>24</v>
      </c>
      <c r="G39" s="9">
        <v>300</v>
      </c>
      <c r="H39" s="9">
        <v>7200</v>
      </c>
    </row>
    <row r="40" spans="1:8" x14ac:dyDescent="0.35">
      <c r="A40" s="2">
        <v>39</v>
      </c>
      <c r="B40" s="3">
        <v>45954</v>
      </c>
      <c r="C40" s="4" t="s">
        <v>27</v>
      </c>
      <c r="D40" s="2" t="s">
        <v>15</v>
      </c>
      <c r="E40" s="4" t="s">
        <v>19</v>
      </c>
      <c r="F40" s="2">
        <v>47</v>
      </c>
      <c r="G40" s="5">
        <v>230</v>
      </c>
      <c r="H40" s="5">
        <v>10810</v>
      </c>
    </row>
    <row r="41" spans="1:8" x14ac:dyDescent="0.35">
      <c r="A41" s="6">
        <v>40</v>
      </c>
      <c r="B41" s="7">
        <v>45955</v>
      </c>
      <c r="C41" s="8" t="s">
        <v>28</v>
      </c>
      <c r="D41" s="6" t="s">
        <v>18</v>
      </c>
      <c r="E41" s="8" t="s">
        <v>21</v>
      </c>
      <c r="F41" s="6">
        <v>61</v>
      </c>
      <c r="G41" s="9">
        <v>200</v>
      </c>
      <c r="H41" s="9">
        <v>12200</v>
      </c>
    </row>
    <row r="42" spans="1:8" x14ac:dyDescent="0.35">
      <c r="A42" s="2">
        <v>41</v>
      </c>
      <c r="B42" s="3">
        <v>45956</v>
      </c>
      <c r="C42" s="4" t="s">
        <v>8</v>
      </c>
      <c r="D42" s="2" t="s">
        <v>9</v>
      </c>
      <c r="E42" s="4" t="s">
        <v>23</v>
      </c>
      <c r="F42" s="2">
        <v>58</v>
      </c>
      <c r="G42" s="5">
        <v>600</v>
      </c>
      <c r="H42" s="5">
        <v>34800</v>
      </c>
    </row>
    <row r="43" spans="1:8" x14ac:dyDescent="0.35">
      <c r="A43" s="6">
        <v>42</v>
      </c>
      <c r="B43" s="7">
        <v>45957</v>
      </c>
      <c r="C43" s="8" t="s">
        <v>11</v>
      </c>
      <c r="D43" s="6" t="s">
        <v>12</v>
      </c>
      <c r="E43" s="8" t="s">
        <v>26</v>
      </c>
      <c r="F43" s="6">
        <v>54</v>
      </c>
      <c r="G43" s="9">
        <v>500</v>
      </c>
      <c r="H43" s="9">
        <v>27000</v>
      </c>
    </row>
    <row r="44" spans="1:8" x14ac:dyDescent="0.35">
      <c r="A44" s="2">
        <v>43</v>
      </c>
      <c r="B44" s="3">
        <v>45958</v>
      </c>
      <c r="C44" s="4" t="s">
        <v>14</v>
      </c>
      <c r="D44" s="2" t="s">
        <v>15</v>
      </c>
      <c r="E44" s="4" t="s">
        <v>10</v>
      </c>
      <c r="F44" s="2">
        <v>31</v>
      </c>
      <c r="G44" s="5">
        <v>500</v>
      </c>
      <c r="H44" s="5">
        <v>15500</v>
      </c>
    </row>
    <row r="45" spans="1:8" x14ac:dyDescent="0.35">
      <c r="A45" s="6">
        <v>44</v>
      </c>
      <c r="B45" s="7">
        <v>45959</v>
      </c>
      <c r="C45" s="8" t="s">
        <v>17</v>
      </c>
      <c r="D45" s="6" t="s">
        <v>18</v>
      </c>
      <c r="E45" s="8" t="s">
        <v>13</v>
      </c>
      <c r="F45" s="6">
        <v>19</v>
      </c>
      <c r="G45" s="9">
        <v>220</v>
      </c>
      <c r="H45" s="9">
        <v>4180</v>
      </c>
    </row>
    <row r="46" spans="1:8" x14ac:dyDescent="0.35">
      <c r="A46" s="2">
        <v>45</v>
      </c>
      <c r="B46" s="3">
        <v>45960</v>
      </c>
      <c r="C46" s="4" t="s">
        <v>20</v>
      </c>
      <c r="D46" s="2" t="s">
        <v>9</v>
      </c>
      <c r="E46" s="4" t="s">
        <v>16</v>
      </c>
      <c r="F46" s="2">
        <v>58</v>
      </c>
      <c r="G46" s="5">
        <v>120</v>
      </c>
      <c r="H46" s="5">
        <v>6960</v>
      </c>
    </row>
    <row r="47" spans="1:8" x14ac:dyDescent="0.35">
      <c r="A47" s="6">
        <v>46</v>
      </c>
      <c r="B47" s="7">
        <v>45961</v>
      </c>
      <c r="C47" s="8" t="s">
        <v>22</v>
      </c>
      <c r="D47" s="6" t="s">
        <v>12</v>
      </c>
      <c r="E47" s="8" t="s">
        <v>19</v>
      </c>
      <c r="F47" s="6">
        <v>16</v>
      </c>
      <c r="G47" s="9">
        <v>230</v>
      </c>
      <c r="H47" s="9">
        <v>3680</v>
      </c>
    </row>
    <row r="48" spans="1:8" x14ac:dyDescent="0.35">
      <c r="A48" s="2">
        <v>47</v>
      </c>
      <c r="B48" s="3">
        <v>45962</v>
      </c>
      <c r="C48" s="4" t="s">
        <v>24</v>
      </c>
      <c r="D48" s="2" t="s">
        <v>15</v>
      </c>
      <c r="E48" s="4" t="s">
        <v>21</v>
      </c>
      <c r="F48" s="2">
        <v>34</v>
      </c>
      <c r="G48" s="5">
        <v>8000</v>
      </c>
      <c r="H48" s="5">
        <v>272000</v>
      </c>
    </row>
    <row r="49" spans="1:8" x14ac:dyDescent="0.35">
      <c r="A49" s="6">
        <v>48</v>
      </c>
      <c r="B49" s="7">
        <v>45963</v>
      </c>
      <c r="C49" s="8" t="s">
        <v>25</v>
      </c>
      <c r="D49" s="6" t="s">
        <v>18</v>
      </c>
      <c r="E49" s="8" t="s">
        <v>23</v>
      </c>
      <c r="F49" s="6">
        <v>32</v>
      </c>
      <c r="G49" s="9">
        <v>600</v>
      </c>
      <c r="H49" s="9">
        <v>19200</v>
      </c>
    </row>
    <row r="50" spans="1:8" x14ac:dyDescent="0.35">
      <c r="A50" s="2">
        <v>49</v>
      </c>
      <c r="B50" s="3">
        <v>45964</v>
      </c>
      <c r="C50" s="4" t="s">
        <v>27</v>
      </c>
      <c r="D50" s="2" t="s">
        <v>9</v>
      </c>
      <c r="E50" s="4" t="s">
        <v>26</v>
      </c>
      <c r="F50" s="2">
        <v>48</v>
      </c>
      <c r="G50" s="5">
        <v>300</v>
      </c>
      <c r="H50" s="5">
        <v>14400</v>
      </c>
    </row>
    <row r="51" spans="1:8" x14ac:dyDescent="0.35">
      <c r="A51" s="6">
        <v>50</v>
      </c>
      <c r="B51" s="7">
        <v>45965</v>
      </c>
      <c r="C51" s="8" t="s">
        <v>28</v>
      </c>
      <c r="D51" s="6" t="s">
        <v>12</v>
      </c>
      <c r="E51" s="8" t="s">
        <v>10</v>
      </c>
      <c r="F51" s="6">
        <v>61</v>
      </c>
      <c r="G51" s="9">
        <v>500</v>
      </c>
      <c r="H51" s="9">
        <v>30500</v>
      </c>
    </row>
    <row r="52" spans="1:8" x14ac:dyDescent="0.35">
      <c r="A52" s="2">
        <v>51</v>
      </c>
      <c r="B52" s="3">
        <v>45966</v>
      </c>
      <c r="C52" s="4" t="s">
        <v>8</v>
      </c>
      <c r="D52" s="2" t="s">
        <v>15</v>
      </c>
      <c r="E52" s="4" t="s">
        <v>13</v>
      </c>
      <c r="F52" s="2">
        <v>56</v>
      </c>
      <c r="G52" s="5">
        <v>500</v>
      </c>
      <c r="H52" s="5">
        <v>28000</v>
      </c>
    </row>
    <row r="53" spans="1:8" x14ac:dyDescent="0.35">
      <c r="A53" s="6">
        <v>52</v>
      </c>
      <c r="B53" s="7">
        <v>45967</v>
      </c>
      <c r="C53" s="8" t="s">
        <v>11</v>
      </c>
      <c r="D53" s="6" t="s">
        <v>18</v>
      </c>
      <c r="E53" s="8" t="s">
        <v>16</v>
      </c>
      <c r="F53" s="6">
        <v>44</v>
      </c>
      <c r="G53" s="9">
        <v>300</v>
      </c>
      <c r="H53" s="9">
        <v>13200</v>
      </c>
    </row>
    <row r="54" spans="1:8" x14ac:dyDescent="0.35">
      <c r="A54" s="2">
        <v>53</v>
      </c>
      <c r="B54" s="3">
        <v>45968</v>
      </c>
      <c r="C54" s="4" t="s">
        <v>14</v>
      </c>
      <c r="D54" s="2" t="s">
        <v>9</v>
      </c>
      <c r="E54" s="4" t="s">
        <v>19</v>
      </c>
      <c r="F54" s="2">
        <v>69</v>
      </c>
      <c r="G54" s="5">
        <v>50</v>
      </c>
      <c r="H54" s="5">
        <v>3450</v>
      </c>
    </row>
    <row r="55" spans="1:8" x14ac:dyDescent="0.35">
      <c r="A55" s="6">
        <v>54</v>
      </c>
      <c r="B55" s="7">
        <v>45969</v>
      </c>
      <c r="C55" s="8" t="s">
        <v>17</v>
      </c>
      <c r="D55" s="6" t="s">
        <v>12</v>
      </c>
      <c r="E55" s="8" t="s">
        <v>21</v>
      </c>
      <c r="F55" s="6">
        <v>15</v>
      </c>
      <c r="G55" s="9">
        <v>300</v>
      </c>
      <c r="H55" s="9">
        <v>4500</v>
      </c>
    </row>
    <row r="56" spans="1:8" x14ac:dyDescent="0.35">
      <c r="A56" s="2">
        <v>55</v>
      </c>
      <c r="B56" s="3">
        <v>45970</v>
      </c>
      <c r="C56" s="4" t="s">
        <v>20</v>
      </c>
      <c r="D56" s="2" t="s">
        <v>15</v>
      </c>
      <c r="E56" s="4" t="s">
        <v>23</v>
      </c>
      <c r="F56" s="2">
        <v>28</v>
      </c>
      <c r="G56" s="5">
        <v>140</v>
      </c>
      <c r="H56" s="5">
        <v>3920</v>
      </c>
    </row>
    <row r="57" spans="1:8" x14ac:dyDescent="0.35">
      <c r="A57" s="6">
        <v>56</v>
      </c>
      <c r="B57" s="7">
        <v>45971</v>
      </c>
      <c r="C57" s="8" t="s">
        <v>22</v>
      </c>
      <c r="D57" s="6" t="s">
        <v>18</v>
      </c>
      <c r="E57" s="8" t="s">
        <v>26</v>
      </c>
      <c r="F57" s="6">
        <v>46</v>
      </c>
      <c r="G57" s="9">
        <v>300</v>
      </c>
      <c r="H57" s="9">
        <v>13800</v>
      </c>
    </row>
    <row r="58" spans="1:8" x14ac:dyDescent="0.35">
      <c r="A58" s="2">
        <v>57</v>
      </c>
      <c r="B58" s="3">
        <v>45972</v>
      </c>
      <c r="C58" s="4" t="s">
        <v>24</v>
      </c>
      <c r="D58" s="2" t="s">
        <v>9</v>
      </c>
      <c r="E58" s="4" t="s">
        <v>10</v>
      </c>
      <c r="F58" s="2">
        <v>55</v>
      </c>
      <c r="G58" s="5">
        <v>50</v>
      </c>
      <c r="H58" s="5">
        <v>2750</v>
      </c>
    </row>
    <row r="59" spans="1:8" x14ac:dyDescent="0.35">
      <c r="A59" s="6">
        <v>58</v>
      </c>
      <c r="B59" s="7">
        <v>45973</v>
      </c>
      <c r="C59" s="8" t="s">
        <v>25</v>
      </c>
      <c r="D59" s="6" t="s">
        <v>12</v>
      </c>
      <c r="E59" s="8" t="s">
        <v>13</v>
      </c>
      <c r="F59" s="6">
        <v>12</v>
      </c>
      <c r="G59" s="9">
        <v>500</v>
      </c>
      <c r="H59" s="9">
        <v>6000</v>
      </c>
    </row>
    <row r="60" spans="1:8" x14ac:dyDescent="0.35">
      <c r="A60" s="2">
        <v>59</v>
      </c>
      <c r="B60" s="3">
        <v>45974</v>
      </c>
      <c r="C60" s="4" t="s">
        <v>27</v>
      </c>
      <c r="D60" s="2" t="s">
        <v>15</v>
      </c>
      <c r="E60" s="4" t="s">
        <v>16</v>
      </c>
      <c r="F60" s="2">
        <v>59</v>
      </c>
      <c r="G60" s="5">
        <v>120</v>
      </c>
      <c r="H60" s="5">
        <v>7080</v>
      </c>
    </row>
    <row r="61" spans="1:8" x14ac:dyDescent="0.35">
      <c r="A61" s="6">
        <v>60</v>
      </c>
      <c r="B61" s="7">
        <v>45975</v>
      </c>
      <c r="C61" s="8" t="s">
        <v>28</v>
      </c>
      <c r="D61" s="6" t="s">
        <v>18</v>
      </c>
      <c r="E61" s="8" t="s">
        <v>19</v>
      </c>
      <c r="F61" s="6">
        <v>15</v>
      </c>
      <c r="G61" s="9">
        <v>230</v>
      </c>
      <c r="H61" s="9">
        <v>3450</v>
      </c>
    </row>
    <row r="62" spans="1:8" x14ac:dyDescent="0.35">
      <c r="A62" s="2">
        <v>61</v>
      </c>
      <c r="B62" s="3">
        <v>45976</v>
      </c>
      <c r="C62" s="4" t="s">
        <v>8</v>
      </c>
      <c r="D62" s="2" t="s">
        <v>9</v>
      </c>
      <c r="E62" s="4" t="s">
        <v>21</v>
      </c>
      <c r="F62" s="2">
        <v>65</v>
      </c>
      <c r="G62" s="5">
        <v>152</v>
      </c>
      <c r="H62" s="5">
        <v>9880</v>
      </c>
    </row>
    <row r="63" spans="1:8" x14ac:dyDescent="0.35">
      <c r="A63" s="6">
        <v>62</v>
      </c>
      <c r="B63" s="7">
        <v>45977</v>
      </c>
      <c r="C63" s="8" t="s">
        <v>11</v>
      </c>
      <c r="D63" s="6" t="s">
        <v>12</v>
      </c>
      <c r="E63" s="8" t="s">
        <v>23</v>
      </c>
      <c r="F63" s="6">
        <v>34</v>
      </c>
      <c r="G63" s="9">
        <v>600</v>
      </c>
      <c r="H63" s="9">
        <v>20400</v>
      </c>
    </row>
    <row r="64" spans="1:8" x14ac:dyDescent="0.35">
      <c r="A64" s="2">
        <v>63</v>
      </c>
      <c r="B64" s="3">
        <v>45978</v>
      </c>
      <c r="C64" s="4" t="s">
        <v>14</v>
      </c>
      <c r="D64" s="2" t="s">
        <v>15</v>
      </c>
      <c r="E64" s="4" t="s">
        <v>26</v>
      </c>
      <c r="F64" s="2">
        <v>39</v>
      </c>
      <c r="G64" s="5">
        <v>300</v>
      </c>
      <c r="H64" s="5">
        <v>11700</v>
      </c>
    </row>
    <row r="65" spans="1:8" x14ac:dyDescent="0.35">
      <c r="A65" s="6">
        <v>64</v>
      </c>
      <c r="B65" s="7">
        <v>45979</v>
      </c>
      <c r="C65" s="8" t="s">
        <v>17</v>
      </c>
      <c r="D65" s="6" t="s">
        <v>18</v>
      </c>
      <c r="E65" s="8" t="s">
        <v>10</v>
      </c>
      <c r="F65" s="6">
        <v>63</v>
      </c>
      <c r="G65" s="9">
        <v>630</v>
      </c>
      <c r="H65" s="9">
        <v>39690</v>
      </c>
    </row>
    <row r="66" spans="1:8" x14ac:dyDescent="0.35">
      <c r="A66" s="2">
        <v>65</v>
      </c>
      <c r="B66" s="3">
        <v>45980</v>
      </c>
      <c r="C66" s="4" t="s">
        <v>20</v>
      </c>
      <c r="D66" s="2" t="s">
        <v>9</v>
      </c>
      <c r="E66" s="4" t="s">
        <v>13</v>
      </c>
      <c r="F66" s="2">
        <v>20</v>
      </c>
      <c r="G66" s="5">
        <v>220</v>
      </c>
      <c r="H66" s="5">
        <v>4400</v>
      </c>
    </row>
    <row r="67" spans="1:8" x14ac:dyDescent="0.35">
      <c r="A67" s="6">
        <v>66</v>
      </c>
      <c r="B67" s="7">
        <v>45981</v>
      </c>
      <c r="C67" s="8" t="s">
        <v>22</v>
      </c>
      <c r="D67" s="6" t="s">
        <v>12</v>
      </c>
      <c r="E67" s="8" t="s">
        <v>16</v>
      </c>
      <c r="F67" s="6">
        <v>32</v>
      </c>
      <c r="G67" s="9">
        <v>300</v>
      </c>
      <c r="H67" s="9">
        <v>9600</v>
      </c>
    </row>
    <row r="68" spans="1:8" x14ac:dyDescent="0.35">
      <c r="A68" s="2">
        <v>67</v>
      </c>
      <c r="B68" s="3">
        <v>45982</v>
      </c>
      <c r="C68" s="4" t="s">
        <v>24</v>
      </c>
      <c r="D68" s="2" t="s">
        <v>15</v>
      </c>
      <c r="E68" s="4" t="s">
        <v>19</v>
      </c>
      <c r="F68" s="2">
        <v>52</v>
      </c>
      <c r="G68" s="5">
        <v>50</v>
      </c>
      <c r="H68" s="5">
        <v>2600</v>
      </c>
    </row>
    <row r="69" spans="1:8" x14ac:dyDescent="0.35">
      <c r="A69" s="6">
        <v>68</v>
      </c>
      <c r="B69" s="7">
        <v>45983</v>
      </c>
      <c r="C69" s="8" t="s">
        <v>25</v>
      </c>
      <c r="D69" s="6" t="s">
        <v>18</v>
      </c>
      <c r="E69" s="8" t="s">
        <v>21</v>
      </c>
      <c r="F69" s="6">
        <v>54</v>
      </c>
      <c r="G69" s="9">
        <v>200</v>
      </c>
      <c r="H69" s="9">
        <v>10800</v>
      </c>
    </row>
    <row r="70" spans="1:8" x14ac:dyDescent="0.35">
      <c r="A70" s="2">
        <v>69</v>
      </c>
      <c r="B70" s="3">
        <v>45984</v>
      </c>
      <c r="C70" s="4" t="s">
        <v>27</v>
      </c>
      <c r="D70" s="2" t="s">
        <v>9</v>
      </c>
      <c r="E70" s="4" t="s">
        <v>23</v>
      </c>
      <c r="F70" s="2">
        <v>51</v>
      </c>
      <c r="G70" s="5">
        <v>140</v>
      </c>
      <c r="H70" s="5">
        <v>7140</v>
      </c>
    </row>
    <row r="71" spans="1:8" x14ac:dyDescent="0.35">
      <c r="A71" s="6">
        <v>70</v>
      </c>
      <c r="B71" s="7">
        <v>45985</v>
      </c>
      <c r="C71" s="8" t="s">
        <v>28</v>
      </c>
      <c r="D71" s="6" t="s">
        <v>12</v>
      </c>
      <c r="E71" s="8" t="s">
        <v>26</v>
      </c>
      <c r="F71" s="6">
        <v>48</v>
      </c>
      <c r="G71" s="9">
        <v>500</v>
      </c>
      <c r="H71" s="9">
        <v>24000</v>
      </c>
    </row>
    <row r="72" spans="1:8" x14ac:dyDescent="0.35">
      <c r="A72" s="2">
        <v>71</v>
      </c>
      <c r="B72" s="3">
        <v>45986</v>
      </c>
      <c r="C72" s="4" t="s">
        <v>8</v>
      </c>
      <c r="D72" s="2" t="s">
        <v>15</v>
      </c>
      <c r="E72" s="4" t="s">
        <v>10</v>
      </c>
      <c r="F72" s="2">
        <v>20</v>
      </c>
      <c r="G72" s="5">
        <v>630</v>
      </c>
      <c r="H72" s="5">
        <v>12600</v>
      </c>
    </row>
    <row r="73" spans="1:8" x14ac:dyDescent="0.35">
      <c r="A73" s="6">
        <v>72</v>
      </c>
      <c r="B73" s="7">
        <v>45987</v>
      </c>
      <c r="C73" s="8" t="s">
        <v>11</v>
      </c>
      <c r="D73" s="6" t="s">
        <v>18</v>
      </c>
      <c r="E73" s="8" t="s">
        <v>13</v>
      </c>
      <c r="F73" s="6">
        <v>56</v>
      </c>
      <c r="G73" s="9">
        <v>6000</v>
      </c>
      <c r="H73" s="9">
        <v>336000</v>
      </c>
    </row>
    <row r="74" spans="1:8" x14ac:dyDescent="0.35">
      <c r="A74" s="2">
        <v>73</v>
      </c>
      <c r="B74" s="3">
        <v>45988</v>
      </c>
      <c r="C74" s="4" t="s">
        <v>14</v>
      </c>
      <c r="D74" s="2" t="s">
        <v>9</v>
      </c>
      <c r="E74" s="4" t="s">
        <v>16</v>
      </c>
      <c r="F74" s="2">
        <v>20</v>
      </c>
      <c r="G74" s="5">
        <v>120</v>
      </c>
      <c r="H74" s="5">
        <v>2400</v>
      </c>
    </row>
    <row r="75" spans="1:8" x14ac:dyDescent="0.35">
      <c r="A75" s="6">
        <v>74</v>
      </c>
      <c r="B75" s="7">
        <v>45989</v>
      </c>
      <c r="C75" s="8" t="s">
        <v>17</v>
      </c>
      <c r="D75" s="6" t="s">
        <v>12</v>
      </c>
      <c r="E75" s="8" t="s">
        <v>19</v>
      </c>
      <c r="F75" s="6">
        <v>34</v>
      </c>
      <c r="G75" s="9">
        <v>230</v>
      </c>
      <c r="H75" s="9">
        <v>7820</v>
      </c>
    </row>
    <row r="76" spans="1:8" x14ac:dyDescent="0.35">
      <c r="A76" s="2">
        <v>75</v>
      </c>
      <c r="B76" s="3">
        <v>45990</v>
      </c>
      <c r="C76" s="4" t="s">
        <v>20</v>
      </c>
      <c r="D76" s="2" t="s">
        <v>15</v>
      </c>
      <c r="E76" s="4" t="s">
        <v>21</v>
      </c>
      <c r="F76" s="2">
        <v>69</v>
      </c>
      <c r="G76" s="5">
        <v>200</v>
      </c>
      <c r="H76" s="5">
        <v>13800</v>
      </c>
    </row>
    <row r="77" spans="1:8" x14ac:dyDescent="0.35">
      <c r="A77" s="6">
        <v>76</v>
      </c>
      <c r="B77" s="7">
        <v>45991</v>
      </c>
      <c r="C77" s="8" t="s">
        <v>22</v>
      </c>
      <c r="D77" s="6" t="s">
        <v>18</v>
      </c>
      <c r="E77" s="8" t="s">
        <v>23</v>
      </c>
      <c r="F77" s="6">
        <v>54</v>
      </c>
      <c r="G77" s="9">
        <v>140</v>
      </c>
      <c r="H77" s="9">
        <v>7560</v>
      </c>
    </row>
    <row r="78" spans="1:8" x14ac:dyDescent="0.35">
      <c r="A78" s="2">
        <v>77</v>
      </c>
      <c r="B78" s="3">
        <v>45992</v>
      </c>
      <c r="C78" s="4" t="s">
        <v>24</v>
      </c>
      <c r="D78" s="2" t="s">
        <v>9</v>
      </c>
      <c r="E78" s="4" t="s">
        <v>26</v>
      </c>
      <c r="F78" s="2">
        <v>53</v>
      </c>
      <c r="G78" s="5">
        <v>500</v>
      </c>
      <c r="H78" s="5">
        <v>26500</v>
      </c>
    </row>
    <row r="79" spans="1:8" x14ac:dyDescent="0.35">
      <c r="A79" s="6">
        <v>78</v>
      </c>
      <c r="B79" s="7">
        <v>45993</v>
      </c>
      <c r="C79" s="8" t="s">
        <v>25</v>
      </c>
      <c r="D79" s="6" t="s">
        <v>12</v>
      </c>
      <c r="E79" s="8" t="s">
        <v>10</v>
      </c>
      <c r="F79" s="6">
        <v>63</v>
      </c>
      <c r="G79" s="9">
        <v>500</v>
      </c>
      <c r="H79" s="9">
        <v>31500</v>
      </c>
    </row>
    <row r="80" spans="1:8" x14ac:dyDescent="0.35">
      <c r="A80" s="2">
        <v>79</v>
      </c>
      <c r="B80" s="3">
        <v>45994</v>
      </c>
      <c r="C80" s="4" t="s">
        <v>27</v>
      </c>
      <c r="D80" s="2" t="s">
        <v>15</v>
      </c>
      <c r="E80" s="4" t="s">
        <v>13</v>
      </c>
      <c r="F80" s="2">
        <v>24</v>
      </c>
      <c r="G80" s="5">
        <v>500</v>
      </c>
      <c r="H80" s="5">
        <v>12000</v>
      </c>
    </row>
    <row r="81" spans="1:16" x14ac:dyDescent="0.35">
      <c r="A81" s="6">
        <v>80</v>
      </c>
      <c r="B81" s="7">
        <v>45995</v>
      </c>
      <c r="C81" s="8" t="s">
        <v>28</v>
      </c>
      <c r="D81" s="6" t="s">
        <v>18</v>
      </c>
      <c r="E81" s="8" t="s">
        <v>16</v>
      </c>
      <c r="F81" s="6">
        <v>61</v>
      </c>
      <c r="G81" s="9">
        <v>120</v>
      </c>
      <c r="H81" s="9">
        <v>7320</v>
      </c>
    </row>
    <row r="82" spans="1:16" x14ac:dyDescent="0.35">
      <c r="A82" s="2">
        <v>81</v>
      </c>
      <c r="B82" s="3">
        <v>45996</v>
      </c>
      <c r="C82" s="4" t="s">
        <v>8</v>
      </c>
      <c r="D82" s="2" t="s">
        <v>9</v>
      </c>
      <c r="E82" s="4" t="s">
        <v>19</v>
      </c>
      <c r="F82" s="2">
        <v>35</v>
      </c>
      <c r="G82" s="5">
        <v>230</v>
      </c>
      <c r="H82" s="5">
        <v>8050</v>
      </c>
    </row>
    <row r="83" spans="1:16" x14ac:dyDescent="0.35">
      <c r="I83" s="12"/>
      <c r="J83" s="13"/>
      <c r="K83" s="13"/>
      <c r="L83" s="13"/>
      <c r="M83" s="13"/>
      <c r="N83" s="12"/>
      <c r="O83" s="13"/>
      <c r="P83" s="1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821F-DC2E-48C4-BA72-81C1A464718E}">
  <dimension ref="A1"/>
  <sheetViews>
    <sheetView showGridLines="0" tabSelected="1" zoomScale="83" workbookViewId="0">
      <selection activeCell="V16" sqref="V16:V17"/>
    </sheetView>
  </sheetViews>
  <sheetFormatPr defaultRowHeight="13"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safarovhamroali@outlook.com</cp:lastModifiedBy>
  <dcterms:created xsi:type="dcterms:W3CDTF">2026-04-22T08:37:33Z</dcterms:created>
  <dcterms:modified xsi:type="dcterms:W3CDTF">2026-04-22T15:57:11Z</dcterms:modified>
</cp:coreProperties>
</file>